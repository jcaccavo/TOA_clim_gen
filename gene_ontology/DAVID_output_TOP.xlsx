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AC/Library/CloudStorage/Dropbox/Research/ClimGenAT/gene_ontology/TOP/"/>
    </mc:Choice>
  </mc:AlternateContent>
  <xr:revisionPtr revIDLastSave="0" documentId="13_ncr:1_{61772DE3-3496-1E4B-AE18-E61CA6A91AEC}" xr6:coauthVersionLast="47" xr6:coauthVersionMax="47" xr10:uidLastSave="{00000000-0000-0000-0000-000000000000}"/>
  <bookViews>
    <workbookView xWindow="0" yWindow="760" windowWidth="30240" windowHeight="17580" xr2:uid="{C8645EC3-AB91-ED49-9EA0-C1D784CEEECD}"/>
  </bookViews>
  <sheets>
    <sheet name="readme" sheetId="1" r:id="rId1"/>
    <sheet name="TOP 20kb BP" sheetId="14" r:id="rId2"/>
    <sheet name="TOP 20kb CC" sheetId="15" r:id="rId3"/>
    <sheet name="TOP 20kb MF" sheetId="16" r:id="rId4"/>
    <sheet name="TOP 10kb BP" sheetId="11" r:id="rId5"/>
    <sheet name="TOP 10kb CC" sheetId="12" r:id="rId6"/>
    <sheet name="TOP 10kb MF" sheetId="13" r:id="rId7"/>
    <sheet name="TOP 5kb BP" sheetId="8" r:id="rId8"/>
    <sheet name="TOP 5kb CC" sheetId="9" r:id="rId9"/>
    <sheet name="TOP 5kb MF" sheetId="10" r:id="rId10"/>
    <sheet name="TOP 1kb BP" sheetId="5" r:id="rId11"/>
    <sheet name="TOP 1kb CC" sheetId="6" r:id="rId12"/>
    <sheet name="TOP 1kb MF" sheetId="7" r:id="rId13"/>
    <sheet name="TOP 0.5kb BP" sheetId="2" r:id="rId14"/>
    <sheet name="TOP 0.5kb CC" sheetId="3" r:id="rId15"/>
    <sheet name="TOP 0.5kb MF" sheetId="4" r:id="rId16"/>
    <sheet name="TOP 20kb p0.05 plot" sheetId="25" r:id="rId17"/>
    <sheet name="TOP 20kb p0.01 plot" sheetId="26" r:id="rId18"/>
    <sheet name="TOP 10kb p0.05 plot" sheetId="23" r:id="rId19"/>
    <sheet name="TOP 10kb p0.01 plot" sheetId="24" r:id="rId20"/>
    <sheet name="TOP 5kb p0.05 plot" sheetId="21" r:id="rId21"/>
    <sheet name="TOP 5kb p0.01 plot" sheetId="22" r:id="rId22"/>
    <sheet name="TOP 1kb p0.05 plot" sheetId="19" r:id="rId23"/>
    <sheet name="TOP 1kb p0.01 plot" sheetId="20" r:id="rId24"/>
    <sheet name="TOP 0.5kb p0.05 plot" sheetId="17" r:id="rId25"/>
    <sheet name="TOP 0.5kb p0.01 plot" sheetId="18" r:id="rId26"/>
  </sheets>
  <definedNames>
    <definedName name="_xlnm._FilterDatabase" localSheetId="7" hidden="1">'TOP 5kb BP'!$A$1:$A$48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6" l="1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K1" i="16"/>
  <c r="G43" i="16"/>
  <c r="D43" i="16"/>
  <c r="G42" i="16"/>
  <c r="D42" i="16"/>
  <c r="G41" i="16"/>
  <c r="D41" i="16"/>
  <c r="G40" i="16"/>
  <c r="D40" i="16"/>
  <c r="G39" i="16"/>
  <c r="D39" i="16"/>
  <c r="G38" i="16"/>
  <c r="D38" i="16"/>
  <c r="G37" i="16"/>
  <c r="D37" i="16"/>
  <c r="G36" i="16"/>
  <c r="D36" i="16"/>
  <c r="G35" i="16"/>
  <c r="D35" i="16"/>
  <c r="G34" i="16"/>
  <c r="D34" i="16"/>
  <c r="G33" i="16"/>
  <c r="D33" i="16"/>
  <c r="G32" i="16"/>
  <c r="D32" i="16"/>
  <c r="G31" i="16"/>
  <c r="D31" i="16"/>
  <c r="G30" i="16"/>
  <c r="D30" i="16"/>
  <c r="G29" i="16"/>
  <c r="D29" i="16"/>
  <c r="G28" i="16"/>
  <c r="D28" i="16"/>
  <c r="G27" i="16"/>
  <c r="D27" i="16"/>
  <c r="G26" i="16"/>
  <c r="D26" i="16"/>
  <c r="G25" i="16"/>
  <c r="D25" i="16"/>
  <c r="G24" i="16"/>
  <c r="D24" i="16"/>
  <c r="G23" i="16"/>
  <c r="D23" i="16"/>
  <c r="G22" i="16"/>
  <c r="D22" i="16"/>
  <c r="G21" i="16"/>
  <c r="D21" i="16"/>
  <c r="G20" i="16"/>
  <c r="D20" i="16"/>
  <c r="G19" i="16"/>
  <c r="D19" i="16"/>
  <c r="G18" i="16"/>
  <c r="D18" i="16"/>
  <c r="G17" i="16"/>
  <c r="D17" i="16"/>
  <c r="G16" i="16"/>
  <c r="D16" i="16"/>
  <c r="G15" i="16"/>
  <c r="D15" i="16"/>
  <c r="G14" i="16"/>
  <c r="D14" i="16"/>
  <c r="G13" i="16"/>
  <c r="D13" i="16"/>
  <c r="G12" i="16"/>
  <c r="D12" i="16"/>
  <c r="G11" i="16"/>
  <c r="D11" i="16"/>
  <c r="G10" i="16"/>
  <c r="D10" i="16"/>
  <c r="G9" i="16"/>
  <c r="D9" i="16"/>
  <c r="G8" i="16"/>
  <c r="D8" i="16"/>
  <c r="G7" i="16"/>
  <c r="D7" i="16"/>
  <c r="G6" i="16"/>
  <c r="D6" i="16"/>
  <c r="G5" i="16"/>
  <c r="D5" i="16"/>
  <c r="G4" i="16"/>
  <c r="D4" i="16"/>
  <c r="G3" i="16"/>
  <c r="D3" i="16"/>
  <c r="G2" i="16"/>
  <c r="D2" i="16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2" i="15"/>
  <c r="K1" i="15"/>
  <c r="G34" i="15"/>
  <c r="D34" i="15"/>
  <c r="G33" i="15"/>
  <c r="D33" i="15"/>
  <c r="G32" i="15"/>
  <c r="D32" i="15"/>
  <c r="G31" i="15"/>
  <c r="D31" i="15"/>
  <c r="G30" i="15"/>
  <c r="D30" i="15"/>
  <c r="G29" i="15"/>
  <c r="D29" i="15"/>
  <c r="G28" i="15"/>
  <c r="D28" i="15"/>
  <c r="G27" i="15"/>
  <c r="D27" i="15"/>
  <c r="G26" i="15"/>
  <c r="D26" i="15"/>
  <c r="G25" i="15"/>
  <c r="D25" i="15"/>
  <c r="G24" i="15"/>
  <c r="D24" i="15"/>
  <c r="G23" i="15"/>
  <c r="D23" i="15"/>
  <c r="G22" i="15"/>
  <c r="D22" i="15"/>
  <c r="G21" i="15"/>
  <c r="D21" i="15"/>
  <c r="G20" i="15"/>
  <c r="D20" i="15"/>
  <c r="G19" i="15"/>
  <c r="D19" i="15"/>
  <c r="G18" i="15"/>
  <c r="D18" i="15"/>
  <c r="G17" i="15"/>
  <c r="D17" i="15"/>
  <c r="G16" i="15"/>
  <c r="D16" i="15"/>
  <c r="G15" i="15"/>
  <c r="D15" i="15"/>
  <c r="G14" i="15"/>
  <c r="D14" i="15"/>
  <c r="G13" i="15"/>
  <c r="D13" i="15"/>
  <c r="G12" i="15"/>
  <c r="D12" i="15"/>
  <c r="G11" i="15"/>
  <c r="D11" i="15"/>
  <c r="G10" i="15"/>
  <c r="D10" i="15"/>
  <c r="G9" i="15"/>
  <c r="D9" i="15"/>
  <c r="G8" i="15"/>
  <c r="D8" i="15"/>
  <c r="G7" i="15"/>
  <c r="D7" i="15"/>
  <c r="G6" i="15"/>
  <c r="D6" i="15"/>
  <c r="G5" i="15"/>
  <c r="D5" i="15"/>
  <c r="G4" i="15"/>
  <c r="D4" i="15"/>
  <c r="G3" i="15"/>
  <c r="D3" i="15"/>
  <c r="G2" i="15"/>
  <c r="D2" i="15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K1" i="14"/>
  <c r="G73" i="14"/>
  <c r="D73" i="14"/>
  <c r="G72" i="14"/>
  <c r="D72" i="14"/>
  <c r="G71" i="14"/>
  <c r="D71" i="14"/>
  <c r="G70" i="14"/>
  <c r="D70" i="14"/>
  <c r="G69" i="14"/>
  <c r="D69" i="14"/>
  <c r="G68" i="14"/>
  <c r="D68" i="14"/>
  <c r="G67" i="14"/>
  <c r="D67" i="14"/>
  <c r="G66" i="14"/>
  <c r="D66" i="14"/>
  <c r="G65" i="14"/>
  <c r="D65" i="14"/>
  <c r="G64" i="14"/>
  <c r="D64" i="14"/>
  <c r="G63" i="14"/>
  <c r="D63" i="14"/>
  <c r="G62" i="14"/>
  <c r="D62" i="14"/>
  <c r="G61" i="14"/>
  <c r="D61" i="14"/>
  <c r="G60" i="14"/>
  <c r="D60" i="14"/>
  <c r="G59" i="14"/>
  <c r="D59" i="14"/>
  <c r="G58" i="14"/>
  <c r="D58" i="14"/>
  <c r="G57" i="14"/>
  <c r="D57" i="14"/>
  <c r="G56" i="14"/>
  <c r="D56" i="14"/>
  <c r="G55" i="14"/>
  <c r="D55" i="14"/>
  <c r="G54" i="14"/>
  <c r="D54" i="14"/>
  <c r="G53" i="14"/>
  <c r="D53" i="14"/>
  <c r="G52" i="14"/>
  <c r="D52" i="14"/>
  <c r="G51" i="14"/>
  <c r="D51" i="14"/>
  <c r="G50" i="14"/>
  <c r="D50" i="14"/>
  <c r="G49" i="14"/>
  <c r="D49" i="14"/>
  <c r="G48" i="14"/>
  <c r="D48" i="14"/>
  <c r="G47" i="14"/>
  <c r="D47" i="14"/>
  <c r="G46" i="14"/>
  <c r="D46" i="14"/>
  <c r="G45" i="14"/>
  <c r="D45" i="14"/>
  <c r="G44" i="14"/>
  <c r="D44" i="14"/>
  <c r="G43" i="14"/>
  <c r="D43" i="14"/>
  <c r="G42" i="14"/>
  <c r="D42" i="14"/>
  <c r="G41" i="14"/>
  <c r="D41" i="14"/>
  <c r="G40" i="14"/>
  <c r="D40" i="14"/>
  <c r="G39" i="14"/>
  <c r="D39" i="14"/>
  <c r="G38" i="14"/>
  <c r="D38" i="14"/>
  <c r="G37" i="14"/>
  <c r="D37" i="14"/>
  <c r="G36" i="14"/>
  <c r="D36" i="14"/>
  <c r="G35" i="14"/>
  <c r="D35" i="14"/>
  <c r="G34" i="14"/>
  <c r="D34" i="14"/>
  <c r="G33" i="14"/>
  <c r="D33" i="14"/>
  <c r="G32" i="14"/>
  <c r="D32" i="14"/>
  <c r="G31" i="14"/>
  <c r="D31" i="14"/>
  <c r="G30" i="14"/>
  <c r="D30" i="14"/>
  <c r="G29" i="14"/>
  <c r="D29" i="14"/>
  <c r="G28" i="14"/>
  <c r="D28" i="14"/>
  <c r="G27" i="14"/>
  <c r="D27" i="14"/>
  <c r="G26" i="14"/>
  <c r="D26" i="14"/>
  <c r="G25" i="14"/>
  <c r="D25" i="14"/>
  <c r="G24" i="14"/>
  <c r="D24" i="14"/>
  <c r="G23" i="14"/>
  <c r="D23" i="14"/>
  <c r="G22" i="14"/>
  <c r="D22" i="14"/>
  <c r="G21" i="14"/>
  <c r="D21" i="14"/>
  <c r="G20" i="14"/>
  <c r="D20" i="14"/>
  <c r="G19" i="14"/>
  <c r="D19" i="14"/>
  <c r="G18" i="14"/>
  <c r="D18" i="14"/>
  <c r="G17" i="14"/>
  <c r="D17" i="14"/>
  <c r="G16" i="14"/>
  <c r="D16" i="14"/>
  <c r="G15" i="14"/>
  <c r="D15" i="14"/>
  <c r="G14" i="14"/>
  <c r="D14" i="14"/>
  <c r="G13" i="14"/>
  <c r="D13" i="14"/>
  <c r="G12" i="14"/>
  <c r="D12" i="14"/>
  <c r="G11" i="14"/>
  <c r="D11" i="14"/>
  <c r="G10" i="14"/>
  <c r="D10" i="14"/>
  <c r="G9" i="14"/>
  <c r="D9" i="14"/>
  <c r="G8" i="14"/>
  <c r="D8" i="14"/>
  <c r="G7" i="14"/>
  <c r="D7" i="14"/>
  <c r="G6" i="14"/>
  <c r="D6" i="14"/>
  <c r="G5" i="14"/>
  <c r="D5" i="14"/>
  <c r="G4" i="14"/>
  <c r="D4" i="14"/>
  <c r="G3" i="14"/>
  <c r="D3" i="14"/>
  <c r="G2" i="14"/>
  <c r="D2" i="14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2" i="13"/>
  <c r="K1" i="13"/>
  <c r="G46" i="13"/>
  <c r="D46" i="13"/>
  <c r="G45" i="13"/>
  <c r="D45" i="13"/>
  <c r="G44" i="13"/>
  <c r="D44" i="13"/>
  <c r="G43" i="13"/>
  <c r="D43" i="13"/>
  <c r="G42" i="13"/>
  <c r="D42" i="13"/>
  <c r="G41" i="13"/>
  <c r="D41" i="13"/>
  <c r="G40" i="13"/>
  <c r="D40" i="13"/>
  <c r="G39" i="13"/>
  <c r="D39" i="13"/>
  <c r="G38" i="13"/>
  <c r="D38" i="13"/>
  <c r="G37" i="13"/>
  <c r="D37" i="13"/>
  <c r="G36" i="13"/>
  <c r="D36" i="13"/>
  <c r="G35" i="13"/>
  <c r="D35" i="13"/>
  <c r="G34" i="13"/>
  <c r="D34" i="13"/>
  <c r="G33" i="13"/>
  <c r="D33" i="13"/>
  <c r="G32" i="13"/>
  <c r="D32" i="13"/>
  <c r="G31" i="13"/>
  <c r="D31" i="13"/>
  <c r="G30" i="13"/>
  <c r="D30" i="13"/>
  <c r="G29" i="13"/>
  <c r="D29" i="13"/>
  <c r="G28" i="13"/>
  <c r="D28" i="13"/>
  <c r="G27" i="13"/>
  <c r="D27" i="13"/>
  <c r="G26" i="13"/>
  <c r="D26" i="13"/>
  <c r="G25" i="13"/>
  <c r="D25" i="13"/>
  <c r="G24" i="13"/>
  <c r="D24" i="13"/>
  <c r="G23" i="13"/>
  <c r="D23" i="13"/>
  <c r="G22" i="13"/>
  <c r="D22" i="13"/>
  <c r="G21" i="13"/>
  <c r="D21" i="13"/>
  <c r="G20" i="13"/>
  <c r="D20" i="13"/>
  <c r="G19" i="13"/>
  <c r="D19" i="13"/>
  <c r="G18" i="13"/>
  <c r="D18" i="13"/>
  <c r="G17" i="13"/>
  <c r="D17" i="13"/>
  <c r="G16" i="13"/>
  <c r="D16" i="13"/>
  <c r="G15" i="13"/>
  <c r="D15" i="13"/>
  <c r="G14" i="13"/>
  <c r="D14" i="13"/>
  <c r="G13" i="13"/>
  <c r="D13" i="13"/>
  <c r="G12" i="13"/>
  <c r="D12" i="13"/>
  <c r="G11" i="13"/>
  <c r="D11" i="13"/>
  <c r="G10" i="13"/>
  <c r="D10" i="13"/>
  <c r="G9" i="13"/>
  <c r="D9" i="13"/>
  <c r="G8" i="13"/>
  <c r="D8" i="13"/>
  <c r="G7" i="13"/>
  <c r="D7" i="13"/>
  <c r="G6" i="13"/>
  <c r="D6" i="13"/>
  <c r="G5" i="13"/>
  <c r="D5" i="13"/>
  <c r="G4" i="13"/>
  <c r="D4" i="13"/>
  <c r="G3" i="13"/>
  <c r="D3" i="13"/>
  <c r="G2" i="13"/>
  <c r="D2" i="13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K1" i="12"/>
  <c r="G26" i="12"/>
  <c r="D26" i="12"/>
  <c r="G25" i="12"/>
  <c r="D25" i="12"/>
  <c r="G24" i="12"/>
  <c r="D24" i="12"/>
  <c r="G23" i="12"/>
  <c r="D23" i="12"/>
  <c r="G22" i="12"/>
  <c r="D22" i="12"/>
  <c r="G21" i="12"/>
  <c r="D21" i="12"/>
  <c r="G20" i="12"/>
  <c r="D20" i="12"/>
  <c r="G19" i="12"/>
  <c r="D19" i="12"/>
  <c r="G18" i="12"/>
  <c r="D18" i="12"/>
  <c r="G17" i="12"/>
  <c r="D17" i="12"/>
  <c r="G16" i="12"/>
  <c r="D16" i="12"/>
  <c r="G15" i="12"/>
  <c r="D15" i="12"/>
  <c r="G14" i="12"/>
  <c r="D14" i="12"/>
  <c r="G13" i="12"/>
  <c r="D13" i="12"/>
  <c r="G12" i="12"/>
  <c r="D12" i="12"/>
  <c r="G11" i="12"/>
  <c r="D11" i="12"/>
  <c r="G10" i="12"/>
  <c r="D10" i="12"/>
  <c r="G9" i="12"/>
  <c r="D9" i="12"/>
  <c r="G8" i="12"/>
  <c r="D8" i="12"/>
  <c r="G7" i="12"/>
  <c r="D7" i="12"/>
  <c r="G6" i="12"/>
  <c r="D6" i="12"/>
  <c r="G5" i="12"/>
  <c r="D5" i="12"/>
  <c r="G4" i="12"/>
  <c r="D4" i="12"/>
  <c r="G3" i="12"/>
  <c r="D3" i="12"/>
  <c r="G2" i="12"/>
  <c r="D2" i="12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K1" i="11"/>
  <c r="G51" i="11"/>
  <c r="D51" i="11"/>
  <c r="G50" i="11"/>
  <c r="D50" i="11"/>
  <c r="G49" i="11"/>
  <c r="D49" i="11"/>
  <c r="G48" i="11"/>
  <c r="D48" i="11"/>
  <c r="G47" i="11"/>
  <c r="D47" i="11"/>
  <c r="G46" i="11"/>
  <c r="D46" i="11"/>
  <c r="G45" i="11"/>
  <c r="D45" i="11"/>
  <c r="G44" i="11"/>
  <c r="D44" i="11"/>
  <c r="G43" i="11"/>
  <c r="D43" i="11"/>
  <c r="G42" i="11"/>
  <c r="D42" i="11"/>
  <c r="G41" i="11"/>
  <c r="D41" i="11"/>
  <c r="G40" i="11"/>
  <c r="D40" i="11"/>
  <c r="G39" i="11"/>
  <c r="D39" i="11"/>
  <c r="G38" i="11"/>
  <c r="D38" i="11"/>
  <c r="G37" i="11"/>
  <c r="D37" i="11"/>
  <c r="G36" i="11"/>
  <c r="D36" i="11"/>
  <c r="G35" i="11"/>
  <c r="D35" i="11"/>
  <c r="G34" i="11"/>
  <c r="D34" i="11"/>
  <c r="G33" i="11"/>
  <c r="D33" i="11"/>
  <c r="G32" i="11"/>
  <c r="D32" i="11"/>
  <c r="G31" i="11"/>
  <c r="D31" i="11"/>
  <c r="G30" i="11"/>
  <c r="D30" i="11"/>
  <c r="G29" i="11"/>
  <c r="D29" i="11"/>
  <c r="G28" i="11"/>
  <c r="D28" i="11"/>
  <c r="G27" i="11"/>
  <c r="D27" i="11"/>
  <c r="G26" i="11"/>
  <c r="D26" i="11"/>
  <c r="G25" i="11"/>
  <c r="D25" i="11"/>
  <c r="G24" i="11"/>
  <c r="D24" i="11"/>
  <c r="G23" i="11"/>
  <c r="D23" i="11"/>
  <c r="G22" i="11"/>
  <c r="D22" i="11"/>
  <c r="G21" i="11"/>
  <c r="D21" i="11"/>
  <c r="G20" i="11"/>
  <c r="D20" i="11"/>
  <c r="G19" i="11"/>
  <c r="D19" i="11"/>
  <c r="G18" i="11"/>
  <c r="D18" i="11"/>
  <c r="G17" i="11"/>
  <c r="D17" i="11"/>
  <c r="G16" i="11"/>
  <c r="D16" i="11"/>
  <c r="G15" i="11"/>
  <c r="D15" i="11"/>
  <c r="G14" i="11"/>
  <c r="D14" i="11"/>
  <c r="G13" i="11"/>
  <c r="D13" i="11"/>
  <c r="G12" i="11"/>
  <c r="D12" i="11"/>
  <c r="G11" i="11"/>
  <c r="D11" i="11"/>
  <c r="G10" i="11"/>
  <c r="D10" i="11"/>
  <c r="G9" i="11"/>
  <c r="D9" i="11"/>
  <c r="G8" i="11"/>
  <c r="D8" i="11"/>
  <c r="G7" i="11"/>
  <c r="D7" i="11"/>
  <c r="G6" i="11"/>
  <c r="D6" i="11"/>
  <c r="G5" i="11"/>
  <c r="D5" i="11"/>
  <c r="G4" i="11"/>
  <c r="D4" i="11"/>
  <c r="G3" i="11"/>
  <c r="D3" i="11"/>
  <c r="G2" i="11"/>
  <c r="D2" i="11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K1" i="10"/>
  <c r="G30" i="10"/>
  <c r="D30" i="10"/>
  <c r="G29" i="10"/>
  <c r="D29" i="10"/>
  <c r="G28" i="10"/>
  <c r="D28" i="10"/>
  <c r="G27" i="10"/>
  <c r="D27" i="10"/>
  <c r="G26" i="10"/>
  <c r="D26" i="10"/>
  <c r="G25" i="10"/>
  <c r="D25" i="10"/>
  <c r="G24" i="10"/>
  <c r="D24" i="10"/>
  <c r="G23" i="10"/>
  <c r="D23" i="10"/>
  <c r="G22" i="10"/>
  <c r="D22" i="10"/>
  <c r="G21" i="10"/>
  <c r="D21" i="10"/>
  <c r="G20" i="10"/>
  <c r="D20" i="10"/>
  <c r="G19" i="10"/>
  <c r="D19" i="10"/>
  <c r="G18" i="10"/>
  <c r="D18" i="10"/>
  <c r="G17" i="10"/>
  <c r="D17" i="10"/>
  <c r="G16" i="10"/>
  <c r="D16" i="10"/>
  <c r="G15" i="10"/>
  <c r="D15" i="10"/>
  <c r="G14" i="10"/>
  <c r="D14" i="10"/>
  <c r="G13" i="10"/>
  <c r="D13" i="10"/>
  <c r="G12" i="10"/>
  <c r="D12" i="10"/>
  <c r="G11" i="10"/>
  <c r="D11" i="10"/>
  <c r="G10" i="10"/>
  <c r="D10" i="10"/>
  <c r="G9" i="10"/>
  <c r="D9" i="10"/>
  <c r="G8" i="10"/>
  <c r="D8" i="10"/>
  <c r="G7" i="10"/>
  <c r="D7" i="10"/>
  <c r="G6" i="10"/>
  <c r="D6" i="10"/>
  <c r="G5" i="10"/>
  <c r="D5" i="10"/>
  <c r="G4" i="10"/>
  <c r="D4" i="10"/>
  <c r="G3" i="10"/>
  <c r="D3" i="10"/>
  <c r="G2" i="10"/>
  <c r="D2" i="10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K1" i="9"/>
  <c r="G25" i="9"/>
  <c r="D25" i="9"/>
  <c r="G24" i="9"/>
  <c r="D24" i="9"/>
  <c r="G23" i="9"/>
  <c r="D23" i="9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D5" i="9"/>
  <c r="G4" i="9"/>
  <c r="D4" i="9"/>
  <c r="G3" i="9"/>
  <c r="D3" i="9"/>
  <c r="G2" i="9"/>
  <c r="D2" i="9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D8" i="8"/>
  <c r="G7" i="8"/>
  <c r="D7" i="8"/>
  <c r="G6" i="8"/>
  <c r="D6" i="8"/>
  <c r="G5" i="8"/>
  <c r="D5" i="8"/>
  <c r="G4" i="8"/>
  <c r="D4" i="8"/>
  <c r="G3" i="8"/>
  <c r="D3" i="8"/>
  <c r="G2" i="8"/>
  <c r="D2" i="8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K1" i="7"/>
  <c r="G25" i="7"/>
  <c r="D25" i="7"/>
  <c r="G24" i="7"/>
  <c r="D24" i="7"/>
  <c r="G23" i="7"/>
  <c r="D23" i="7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G6" i="7"/>
  <c r="D6" i="7"/>
  <c r="G5" i="7"/>
  <c r="D5" i="7"/>
  <c r="G4" i="7"/>
  <c r="D4" i="7"/>
  <c r="G3" i="7"/>
  <c r="D3" i="7"/>
  <c r="G2" i="7"/>
  <c r="D2" i="7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1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1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1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<sst xmlns="http://schemas.openxmlformats.org/spreadsheetml/2006/main" count="4240" uniqueCount="887">
  <si>
    <t>red text indicates GO terms with nonsigniciant (p &gt; 0.05) values</t>
  </si>
  <si>
    <t>green text indicates highly significant GO terms (p &lt; 0.01)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</si>
  <si>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</si>
  <si>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</si>
  <si>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</si>
  <si>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</si>
  <si>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</si>
  <si>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</si>
  <si>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</si>
  <si>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</si>
  <si>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</si>
  <si>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</si>
  <si>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</si>
  <si>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</si>
  <si>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</si>
  <si>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</si>
  <si>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FGFR1A, IGF1RA, SAMD10B, ANGPT1, EPHA8, INSRB, SAMD12, DDR2B, FGFR3</t>
  </si>
  <si>
    <t>PAX2A, ITGB1A, LAMB2, MMP2, MMP28, CADM2B</t>
  </si>
  <si>
    <t>PAX2A, ITGB1A, LAMB2, MMP2, MMP28, PDE6B, VAX1, CADM2B</t>
  </si>
  <si>
    <t>PCDH15A, EPS15L1A, MYO1B, USP20, MYO1HA, VLDLR, LRP8, LRP1AA</t>
  </si>
  <si>
    <t>FGFR1A, IGF1RA, INSRB, DDR2B, FGFR3</t>
  </si>
  <si>
    <t>FGFR1A, EGFL7, VLDLR, TNS2A, NELL2B, LRP8, ARHGAP29B, LRP1AA</t>
  </si>
  <si>
    <t>OFD1, YAP1, CARMIL3, TEAD3A, ITPR1B, NPHP4</t>
  </si>
  <si>
    <t>FGFR1A, LCT, FGFR3, FGF22</t>
  </si>
  <si>
    <t>YAP1, PCDH15A, ITGB1A, CTNND1, NRXN1A, PARD3AA, FREM1B, FREM2B, ZGC:152904, KITLGA, PKP4, SI:CH211-186J3.6, FERMT2</t>
  </si>
  <si>
    <t>YAP1, IGF1RA, INSRB, ASPSCR1</t>
  </si>
  <si>
    <t>YAP1, FGFR1A, NGFRB</t>
  </si>
  <si>
    <t>IGF1RA, INSRB, FGFR3, ADRA1BA, FGF22</t>
  </si>
  <si>
    <t>GABRB3, KCNH4B, GRIN2CA, GRIN2AA, GRID2, CACNA1HA, CACNA2D3A, CACNA2D3, ITPR1B, GABRR3A, CACNG3B</t>
  </si>
  <si>
    <t>YAP1, CARMIL3, TEAD3A, NPHP4, NKD1</t>
  </si>
  <si>
    <t>GGA1, STX8, USO1, VPS41, ASPSCR1, CLTCB, RAB38B, RIMS2A, SEC24C</t>
  </si>
  <si>
    <t>GABRB3, KCNH4B, RIMS2A, GABRR3A</t>
  </si>
  <si>
    <t>NGFRB, APAF1, TAX1BP1A, PAWR, BIRC6, FGFR3, GAPDH</t>
  </si>
  <si>
    <t>CACNA1HA, CACNA2D3A, CACNA2D3, ITPR1B, CACNG3B</t>
  </si>
  <si>
    <t>MMP2, MMP28, MMP16A</t>
  </si>
  <si>
    <t>GABRB3, GABRR3A, GABRG3</t>
  </si>
  <si>
    <t>PARD3AA, MECOM, PRDM5</t>
  </si>
  <si>
    <t>FGFR1A, PDGFD, KITLGA, FGFR3, FGF22</t>
  </si>
  <si>
    <t>IGF1RA, INSRB, DDR2B</t>
  </si>
  <si>
    <t>RASA2, ARHGAP19, SEMA4F, TNS2A, ARHGAP36, ARHGAP29B, ARHGAP17B</t>
  </si>
  <si>
    <t>TLK2, ULK3, VRK1, CSNK2A2B, CAMK1DA</t>
  </si>
  <si>
    <t>USP20, APAF1, MMP2, HTRA3B, HTRA1A, IDE, MMP16A, SENP3B, PREPL, USP43A, IMMP2L, SENP8, ANK2B, MMP28, LONP1</t>
  </si>
  <si>
    <t>RTEL1, TERF2IP</t>
  </si>
  <si>
    <t>PAX2A, KDM7AB, FGF22</t>
  </si>
  <si>
    <t>PAX2A, NIN, FGF22</t>
  </si>
  <si>
    <t>TTN.2, TMOD4, NACA</t>
  </si>
  <si>
    <t>GOTERM_CC_DIRECT</t>
  </si>
  <si>
    <t>OFD1, SYNE2B, USP20, TMOD4, PTPN4A, KLHL3, WDR35, SI:CH211-232H12.2, CDC42EP4B, PREPL, NIN, KLC2, INCENP, ANK2B, ANK1B, KITLGA, TLK2, NPHP4, CAMSAP2A, GAPDH, RAB11FIP3, SPTBN1, FERMT2</t>
  </si>
  <si>
    <t>SYNE2B, ZGC:165507, CTNND1, HTRA1A, NTN1B, NELL2B, RPL7, ZUFSP, PPP1R16B, SSU72, VRK1, SI:CH211-125O16.4, SND1, CRTC1A, ACAP1, ANK2B, ULK3, PKP4, CAMSAP2A, UBA52, RGS12B, ITPK1B, FGFR1A, KLHL14, UBA5, PTPN4A, ARHGAP19, NEDD4L, NMD3, ALOX12, EIF3EB, GLCCI1A, NEU4, KLC2, RAB11FIP3, FGF22, SPTBN1, ASPSCR1, NFATC3A, NACA, STK26, UBA2, LSM14B, FERMT2, ARHGAP29B, ARHGAP17B, CCDC88AB, MYO1HA, PIK3CD, DPYSL2B, MSI2B, THTPA, SKILA, XPO4, SH3PXD2B, KITLGA, TLK2, IKBKG, ARHGEF18B, LRRCC1, OFD1, BCAS3, APAF1, MIOS, STRBP, GAB1, DARS2, PAWR, IL16, SEC14L8, WDR35, SI:CH211-232H12.2, INCENP, PITPNM2, TERF2IP, GAPDH, ACSBG2, YAP1, EPS15L1A, OBSCNA, USO1, NKD1, AHRRB, MROH1, TTN.2, ANK1B, PPP1R14C, USP20, KLHL3, CDC42EP4B, MYO1B, MCM3AP, NIN, VPS41, AQP11, SMAP1, CAMK1DA</t>
  </si>
  <si>
    <t>OFD1, NIN, AKNA, CCDC88AB, USP20, RTTN, WDR35, RAB11FIP3, SI:CH211-232H12.2, LRRCC1</t>
  </si>
  <si>
    <t>GABRB3, GRIN2CA, GRIN2AA, GRID2, SHANK2B, GABRR3A, GABRG3, SHANK1</t>
  </si>
  <si>
    <t>GABRB3, RASGRF2A, ZGC:165507, CTNND1, MYO1HA, PENKA, PIK3CD, VLDLR, SPRED2A, KITLGA, CNTN3A.2, CPNE2, ARHGEF18B, SI:CH73-61D6.3, LRP1AA, ADCY2B, PCDH15A, IGF1RA, GRID2, MIGA2, ITGB1A, EPHA8, EXOC7, SEC14L8, ATP11A, MTNR1BB, GRIN2CA, LMBRD1, SEMA3FB, PKP4, PROM1A, RGS12B, PPP1R37, OBSCNA, EPS15L1A, FGFR1A, TACR1A, DLG5A, LRP8, NKD1, ADCY3A, GALR1A, ENOX2, SCUBE1, TTN.2, GFRA1B, INSRB, ANK1B, PTCHD4, ANO10B, GABRR3A, PAG1, SPTBN1, OPCML, GABBR2, CARMIL3, TMEM30C, SLC6A11B, SEMA4F, CDC42EP4B, KCNH4B, NGFRB, MYO1B, GRIN2AA, CACNA1HA, JAM2B, NMUR3, SI:CH211-186J3.6, DDR2B, FGFR3, ADRA1BA, FERMT2, CADM2B</t>
  </si>
  <si>
    <t>SAMD10B, PTPN4A, SAMD12</t>
  </si>
  <si>
    <t>IGF1RA, INSRB</t>
  </si>
  <si>
    <t>LMBRD1, CLTCB</t>
  </si>
  <si>
    <t>GRIN2CA, GRIN2AA, GRID2, CACNG3B</t>
  </si>
  <si>
    <t>NGFRB, EGFL7, SCUBE1, ITGB1A, JAM2B, PROM1A, FERMT2</t>
  </si>
  <si>
    <t>PPP1R37, CARMIL3, ITGB1A, KITLGA</t>
  </si>
  <si>
    <t>GABRB3, GRIN2CA, GRIN2AA, GRID2, ITGB1A, GAA, CNTN3A.2, RIMS2A, GABRR3A, PTCHD4, TANC1B, SHANK1</t>
  </si>
  <si>
    <t>FGFR1A, CRLF1A, GFRA1B, DDR2B, FGFR3, LRP1AA</t>
  </si>
  <si>
    <t>CLCN6, LMBRD1, MIOS, GAA, VPS41, DEPDC5</t>
  </si>
  <si>
    <t>MYO1B, MYO1HA, PROM1A</t>
  </si>
  <si>
    <t>SI:CH211-106N13.3, SRPX, FREM1B, FREM2B, ANGPT1, HTRA1A, CSPG4</t>
  </si>
  <si>
    <t>CACNA1HA, CACNA2D3A, CACNA2D3</t>
  </si>
  <si>
    <t>OFD1, NPHP4, RTTN, WDR35</t>
  </si>
  <si>
    <t>FGFR1A, TMEM30C, UBA5, USO1, ICAL1, GALNT18B, RAB38B, SREBF2, CEPT1B, GGA1, PREPL, STK26, VPS41, FAM20CB, RAB11FIP3</t>
  </si>
  <si>
    <t>OFD1, NIN, TTN.2, RTTN</t>
  </si>
  <si>
    <t>GOTERM_MF_DIRECT</t>
  </si>
  <si>
    <t>OBSCNA, ITPK1B, FGFR1A, RTEL1, CHD9, SI:DKEY-119F1.1, UBA5, MYO1HA, PIK3CD, CHD3, ACACB, ADCY3A, ATAD2B, TTN.2, INSRB, LONP1, TLK2, PRKG2, ABCA1B, ADCY2B, ZRANB3, IGF1RA, APAF1, EPHA8, DARS2, ACSL1A, HELZ, CSNK2A2B, VRK1, ATP11A, SMARCA2, SMC1B, MYO1B, NME6, STK26, ULK3, UBA2, NAV2A, FAM20CB, DDR2B, FGFR3, CAMK1DA</t>
  </si>
  <si>
    <t>FGFR1A, IGF1RA, EPHA8, INSRB, DDR2B, FGFR3</t>
  </si>
  <si>
    <t>ZRANB3, CHD9, CHD3, SMARCA2</t>
  </si>
  <si>
    <t>USP20, APAF1, MMP2, HTRA3B, HTRA1A, IDE, MMP16A, SENP3B, PREPL, USP43A, IMMP2L, SENP8, MMP28, LONP1</t>
  </si>
  <si>
    <t>OBSCNA, ITPK1B, FGFR1A, RTEL1, CHD9, SI:DKEY-119F1.1, UBA5, MYO1HA, PIK3CD, RAB38B, CHD3, ACACB, ADCY3A, INSRB, REV3L, LONP1, TLK2, PRKG2, ABCA1B, ADCY2B, ZRANB3, IGF1RA, APAF1, EPHA8, DARS2, ACSL1A, HELZ, CSNK2A2B, VRK1, ATP11A, SMARCA2, MYO1B, NME6, STK26, ULK3, UBA2, FAM20CB, FGFR3, CAMK1DA</t>
  </si>
  <si>
    <t>FGFR1A, LCT, FGFR3</t>
  </si>
  <si>
    <t>RTEL1, CHD9, PTPN4A, HTRA3B, HTRA1A, MMP16A, IDE, CHD3, DPYSL2B, SENP3B, THTPA, TATDN3, IMMP2L, SENP8, MMP28, LONP1, PDE6B, NOTUM2, ZRANB3, APAF1, USP20, GAA, MMP2, SSU72, HELZ, TNS2A, SMARCA2, SI:CH211-282J22.3, PREPL, USP43A, PDE1CA</t>
  </si>
  <si>
    <t>ACAP1, SGSM3, RASA2, ARHGAP19, DEPDC5, SMAP1, ARHGAP29B, ARHGAP17B, RGS12B</t>
  </si>
  <si>
    <t>GABRB3, KCNH4B, GRIN2CA, GRIN2AA, GRID2, CACNA1HA, ITPR1B, GABRR3A</t>
  </si>
  <si>
    <t>CACNA1HA, CACNA2D3A, CACNA2D3, CACNG3B</t>
  </si>
  <si>
    <t>PCDH15A, EPS15L1A, EGFL7, CALM1A, ALOX12, VLDLR, LRP8, NELL2B, NKD1, SI:CH211-282J22.3, NIN, SCUBE1, FREM2B, EFHD1, SI:CH211-186J3.6, EFCC1, RAB11FIP3, LRP1AA</t>
  </si>
  <si>
    <t>STRN, STRN4</t>
  </si>
  <si>
    <t>PCDH15A, YAP1, NGFRB, CSF1B, SEC14L8, NTN1B, IKBKG, FGFR3, OPCML, WU:FC46H12</t>
  </si>
  <si>
    <t>SHANK2B, SHANK1</t>
  </si>
  <si>
    <t>OBSCNA, ITPK1B, FGFR1A, IGF1RA, EPHA8, PIK3CD, VRK1, CSNK2A2B, NELL2B, NME6, STK26, INSRB, TLK2, ULK3, PRKG2, IKBKG, FAM20CB, DDR2B, FGFR3, CAMK1DA</t>
  </si>
  <si>
    <t>FGFR1A, FGFR3</t>
  </si>
  <si>
    <t>CSF1B, BMP10, GPIB, TGFB3, KITLGA, IL16</t>
  </si>
  <si>
    <t>GRIN2CA, GRIN2AA, GRID2</t>
  </si>
  <si>
    <t>PRDM5, CHD3, ZC3H6, IDE, THTPA, TATDN3, ING2, ZUFSP, MECOM, MMP28, REV3L, EFHD1, IKBKG, NUDT14, PGM1, ADCY2B, MIOS, MMP2, TOP3A, ATP11A, NRXN1A, ACAP1, NME6, RASA2, PITPNM2, RIMS2A, FAM20CB, PDE1CA, ZNF740A, KMT2E, ZCCHC7, EPS15L1A, ITPK1B, RTEL1, UBA5, MICALL1A, ALOX12, MMP16A, NRXN2B, ACACB, NKD1, ADCY3A, HECTD1, TAX1BP1A, ZBBX, KDM7AB, PDE6B, RAB11FIP3, MTA3, ZRANB3, USP20, HELZ, SI:CH73-181D5.4, TNS2A, SI:CH211-282J22.3, GRIN2AA, CACNA1HA, VPS41, TBXAS1, UBA2, SMAP1, ZCCHC2, ARHGAP29B</t>
  </si>
  <si>
    <t>EEA1, PCDH15A, EPS15L1A, MYO1B, USP20, MYO1HA, VLDLR, LRP8, LRP1AA</t>
  </si>
  <si>
    <t>PRKCG, FGFR1A, EGFL7, VLDLR, TNS2A, NELL2B, LRP8, ARHGAP29B, LRP1AA</t>
  </si>
  <si>
    <t>GGA1, STX8, USO1, VPS41, ASPSCR1, CLTCB, RAB38B, RIMS2A, SEC24C, TMED5</t>
  </si>
  <si>
    <t>ACAD8, ACSL1A, ALOX12, ACACB, AGPAT3, SREBF2, CEPT1B, NEU4, LPCAT4, CERS2A, PSAP, PNPLA3, ACAD11, ACSBG2</t>
  </si>
  <si>
    <t>GABRB3, KCNH4B, GRIN2CA, GRIN2AA, GRID2, CACNA1HA, CACNA2D3A, KCND2, CACNA2D3, ITPR1B, GABRR3A, CACNG3B</t>
  </si>
  <si>
    <t>PRKCG, TLK2, ULK3, VRK1, CSNK2A2B, CAMK1DA</t>
  </si>
  <si>
    <t>SLC7A8A, SLC3A1, SLC6A11B, SLC38A9</t>
  </si>
  <si>
    <t>PRKCG, RASA2, ARHGAP19, SEMA4F, TNS2A, ARHGAP36, ARHGAP29B, ARHGAP17B</t>
  </si>
  <si>
    <t>SLC7A8A, GRID2, SLC38A9</t>
  </si>
  <si>
    <t>MECOM, E2F5</t>
  </si>
  <si>
    <t>USP20, APAF1, MMP2, HTRA3B, HTRA1A, IDE, MMP16A, SENP3B, PREPL, USP43A, CTSO, IMMP2L, SENP8, ANK2B, MMP28, LONP1</t>
  </si>
  <si>
    <t>OFD1, SYNE2B, USP20, TMOD4, PTPN4A, KLHL3, WDR35, SI:CH211-232H12.2, CDC42EP4B, PREPL, ACTR2B, NIN, KLC2, INCENP, ANK2B, ANK1B, KITLGA, TLK2, NPHP4, CAMSAP2A, GAPDH, RAB11FIP3, SPTBN1, FERMT2</t>
  </si>
  <si>
    <t>SYNE2B, ZGC:165507, CTNND1, HTRA1A, NTN1B, NELL2B, RPL7, ZUFSP, ACAD11, PPP1R16B, PRKCG, SSU72, VRK1, SI:CH211-125O16.4, SND1, CRTC1A, ACAP1, ANK2B, ULK3, PKP4, CAMSAP2A, UBA52, RGS12B, ITPK1B, FGFR1A, KLHL14, UBA5, PTPN4A, ARHGAP19, NEDD4L, NMD3, ALOX12, EIF3EB, GLCCI1A, NEU4, KLC2, RAB11FIP3, FGF22, SPTBN1, ARPP19B, ASPSCR1, NFATC3A, CDK4, NACA, STK26, UBA2, LSM14B, FERMT2, ARHGAP29B, ARHGAP17B, CCDC88AB, MYO1HA, PIK3CD, DPYSL2B, MSI2B, THTPA, SKILA, XPO4, SH3PXD2B, KITLGA, ARIH2, TLK2, IKBKG, ARHGEF18B, LRRCC1, OFD1, BCAS3, APAF1, MIOS, STRBP, GAB1, DARS2, PAWR, IL16, SEC14L8, WDR35, SI:CH211-232H12.2, ACTR2B, INCENP, PITPNM2, TERF2IP, GAPDH, ACSBG2, YAP1, EPS15L1A, OBSCNA, USO1, PPM1H, NKD1, AHRRB, MROH1, TTN.2, ANK1B, PPP1R14C, USP20, KLHL3, CDC42EP4B, S100W, MYO1B, MCM3AP, NIN, VPS41, PNPLA3, AQP11, SMAP1, CAMK1DA</t>
  </si>
  <si>
    <t>GABRB3, GRIN2CA, GRIN2AA, GRID2, SHANK2B, KCND2, GABRR3A, GABRG3, SHANK1</t>
  </si>
  <si>
    <t>NEU4, LMBRD1, CTSO, MIOS, GAA, VPS41, PSAP, SLC38A9, RAB38B</t>
  </si>
  <si>
    <t>KLHL14, TMEM30C, USO1, SSR3, ACSL1A, ITPR1B, ATP11A, AGPAT3, SREBF2, SI:CH211-282J22.3, TMEM199, CEPT1B, NEU4, LMBRD1, LPCAT4, CERS2A, EMC4, CALR, PROM1A, ACSBG2, TMED5</t>
  </si>
  <si>
    <t>SI:CH73-109D9.3, SKILA, NFATC3A, TEAD3A, FOXH1, E2F5, AHRRB, ZNF740A</t>
  </si>
  <si>
    <t>CLCN6, LMBRD1, MIOS, GAA, VPS41, SLC38A9, DEPDC5</t>
  </si>
  <si>
    <t>GABRB3, RASGRF2A, ZGC:165507, CTNND1, MYO1HA, PENKA, PIK3CD, VLDLR, SPRED2A, KITLGA, CNTN3A.2, CPNE2, ARHGEF18B, SI:CH73-61D6.3, LRP1AA, ADCY2B, PCDH15A, IGF1RA, GRID2, MIGA2, ITGB1A, KCND2, EPHA8, EXOC7, SEC14L8, ATP11A, MTNR1BB, GRIN2CA, LMBRD1, SEMA3FB, PKP4, PROM1A, RGS12B, PPP1R37, OBSCNA, EPS15L1A, FGFR1A, TACR1A, DLG5A, LRP8, NKD1, ADCY3A, GALR1A, ENOX2, SCUBE1, TTN.2, GFRA1B, INSRB, ANK1B, PTCHD4, ANO10B, GABRR3A, PAG1, SPTBN1, OPCML, GABBR2, CARMIL3, TMEM30C, SLC6A11B, SEMA4F, CDC42EP4B, KCNH4B, NGFRB, MYO1B, GRIN2AA, CACNA1HA, JAM2B, NMUR3, SI:CH211-186J3.6, DDR2B, FGFR3, ADRA1BA, FERMT2, CADM2B</t>
  </si>
  <si>
    <t>GABRB3, GRID2, KCND2, ITGB1A, GAA, GRIN2CA, GRIN2AA, CNTN3A.2, RIMS2A, PTCHD4, GABRR3A, TANC1B, SHANK1</t>
  </si>
  <si>
    <t>TMEM199, PARD3AA, STX8, RAB38B, AGPAT3, CDC42EP4B</t>
  </si>
  <si>
    <t>KCNH4B, CACNA1HA, CACNA2D3A, KCND2, CACNA2D3, CACNG3B</t>
  </si>
  <si>
    <t>FGFR1A, TMEM30C, UBA5, USO1, ICAL1, GALNT18B, RAB38B, SREBF2, CEPT1B, GGA1, PREPL, STK26, VPS41, FAM20CB, RAB11FIP3, TMED5</t>
  </si>
  <si>
    <t>SLF1, ACTR2B, SI:DKEY-119F1.1</t>
  </si>
  <si>
    <t>YAP1, PARD3AA, KCND2, ITGB1A, TNS2A, SI:CH73-61D6.3, FERMT2</t>
  </si>
  <si>
    <t>FGFR1A, FIBPA, LCT, FGFR3</t>
  </si>
  <si>
    <t>OBSCNA, ITPK1B, FGFR1A, RTEL1, CHD9, SI:DKEY-119F1.1, UBA5, MYO1HA, PIK3CD, CHD3, ACACB, ADCY3A, ATAD2B, TTN.2, INSRB, LONP1, TLK2, PRKG2, ABCA1B, ADCY2B, PRKCG, ZRANB3, IGF1RA, APAF1, EPHA8, DARS2, ACSL1A, HELZ, CSNK2A2B, VRK1, ATP11A, SMARCA2, SMC1B, SUPV3L1, MYO1B, ACTR2B, NME6, CDK4, STK26, ULK3, UBA2, NAV2A, FAM20CB, DDR2B, FGFR3, CAMK1DA</t>
  </si>
  <si>
    <t>OBSCNA, ITPK1B, FGFR1A, RTEL1, CHD9, SI:DKEY-119F1.1, UBA5, MYO1HA, PIK3CD, RAB38B, CHD3, ACACB, ADCY3A, INSRB, REV3L, LONP1, TLK2, PRKG2, ABCA1B, ADCY2B, PRKCG, ZRANB3, IGF1RA, APAF1, EPHA8, DARS2, ACSL1A, HELZ, CSNK2A2B, VRK1, ATP11A, SMARCA2, SUPV3L1, MYO1B, ACTR2B, NME6, GSPT1L, CDK4, STK26, ULK3, UBA2, FAM20CB, FGFR3, CAMK1DA</t>
  </si>
  <si>
    <t>PCDH15A, EPS15L1A, EGFL7, CALM1A, ALOX12, VLDLR, LRP8, NELL2B, NKD1, SI:CH211-282J22.3, S100W, NIN, SCUBE1, FREM2B, LPCAT4, EFHD1, SLIT3, CALR, SI:CH211-186J3.6, EFCC1, RAB11FIP3, LRP1AA</t>
  </si>
  <si>
    <t>GABRB3, KCNH4B, GRIN2CA, GRIN2AA, GRID2, CACNA1HA, KCND2, ITPR1B, GABRR3A</t>
  </si>
  <si>
    <t>RTEL1, CHD9, PTPN4A, HTRA3B, PPM1H, HTRA1A, MMP16A, IDE, CHD3, DPYSL2B, SENP3B, THTPA, TATDN3, IMMP2L, SENP8, MMP28, LONP1, PDE6B, NOTUM2, ZRANB3, APAF1, USP20, GAA, MMP2, SSU72, HELZ, TNS2A, SMARCA2, SI:CH211-282J22.3, SUPV3L1, PREPL, USP43A, PNPLA3, PDE1CA</t>
  </si>
  <si>
    <t>SLC7A8A, SLC38A8B, SLC38A9</t>
  </si>
  <si>
    <t>PRDM5, CHD3, ZC3H6, IDE, EEA1, THTPA, TATDN3, ING2, ZUFSP, MECOM, MMP28, REV3L, ARIH2, EFHD1, IKBKG, NUDT14, PGM1, ADCY2B, PRKCG, MIOS, MMP2, TOP3A, ATP11A, NRXN1A, ACAP1, NME6, RASA2, PITPNM2, RIMS2A, FAM20CB, PDE1CA, ZNF740A, KMT2E, ZCCHC7, EPS15L1A, ITPK1B, RTEL1, UBA5, MICALL1A, ALOX12, MMP16A, NRXN2B, ACACB, NKD1, ADCY3A, SI:CH73-109D9.3, HECTD1, TAX1BP1A, ZBBX, KDM7AB, SLC38A9, PDE6B, RAB11FIP3, MTA3, ZRANB3, USP20, HELZ, SI:CH73-181D5.4, TNS2A, SI:CH211-282J22.3, S100W, GRIN2AA, CACNA1HA, LPCAT4, VPS41, TBXAS1, UBA2, SMAP1, ZCCHC2, ARHGAP29B</t>
  </si>
  <si>
    <t>PPP1R37, PPP1R14C, ARPP19B</t>
  </si>
  <si>
    <t>PRKCG, OBSCNA, FGFR1A, IGF1RA, EPHA8, VRK1, CSNK2A2B, TTN.2, CDK4, STK26, INSRB, TLK2, ULK3, PRKG2, DDR2B, FGFR3, CAMK1DA</t>
  </si>
  <si>
    <t>PRKCG, OBSCNA, ITPK1B, FGFR1A, IGF1RA, EPHA8, PIK3CD, VRK1, CSNK2A2B, NELL2B, NME6, CDK4, STK26, INSRB, TLK2, ULK3, PRKG2, IKBKG, FAM20CB, DDR2B, FGFR3, CAMK1DA</t>
  </si>
  <si>
    <t>RASGRF2A, OBSCNA, DOCK11, DENND2C, SI:DKEY-65J6.2, SLC38A9, ARHGEF18B, SI:DKEY-82F1.1</t>
  </si>
  <si>
    <t>GABRB3, GRID2, CACNA2D3A, KCND2, TTYH2, KCNC2, GRIK5, CACNA1SA, CACNA2D3, ITPR1B, CACNG3B, KCNH5B, KCNH4B, GRIN2CA, GRIN2AA, CACNA1HA, KCTD10, GABRR3A</t>
  </si>
  <si>
    <t>PRKCG, FGFR1A, EGFL7, PRKD4, VLDLR, TNS2A, NELL2B, LRP8, ARHGAP29B, WNT7BA, LRP1AA</t>
  </si>
  <si>
    <t>PAX2A, ITGB1A, LAMB2, MMP2, MMP28, PER1B, PDE6B, EXOC5, VAX1, CADM2B</t>
  </si>
  <si>
    <t>YAP1, PCDH15A, NLGN1, SPON1A, TENM3, ITGB1A, CTNND1, NRXN1A, ARVCFA, PARD3AA, FREM1B, FREM2B, ZGC:152904, KITLGA, CDH13, PKP4, CDH27, SI:CH211-186J3.6, SI:CH211-66E2.5, FERMT2</t>
  </si>
  <si>
    <t>EEA1, PCDH15A, EPS15L1A, MYO1B, RABEP1, USP20, MYO1HA, VLDLR, LRP8, LRP1AA</t>
  </si>
  <si>
    <t>PRKCG, TLK2, ULK3, VRK1, CSNK2A2B, TTBK2B, TTBK2A, CAMK1DA</t>
  </si>
  <si>
    <t>CTNND1, CDH13, PKP4, CDH27, SI:CH211-186J3.6, ARVCFA</t>
  </si>
  <si>
    <t>COL4A5, NTN1A, COL19A1</t>
  </si>
  <si>
    <t>TRIM71, FGFR1A, LCT, FGFR3, FGF22</t>
  </si>
  <si>
    <t>SEMA6BA, LAMB2, EPHA8, SEMA3FB, LRTM1, CNTN3A.2, TRIOB, SLIT3, SEMA4F, TRIOA, PLXNB1B</t>
  </si>
  <si>
    <t>AP1G2, CTNND1, NPHP4</t>
  </si>
  <si>
    <t>GGA1, AP1G2, STX8, USO1, VPS41, ASPSCR1, CLTCB, RAB38B, RIMS2A, VPS26A, SEC24C, TMED5</t>
  </si>
  <si>
    <t>GABRB3, KCNH4B, RIMS2A, GABRR3A, KCNH5B</t>
  </si>
  <si>
    <t>CACNA1HA, CACNA2D3A, CACNA1SA, CACNB3A, CACNA2D3, ITPR1B, CACNG3B</t>
  </si>
  <si>
    <t>PAX2A, PCDH15A, YAP1, RABEP1, TEAD3A, CEP70, NPHP3, TOGARAM1, EXOC5, TTBK2B, WDR35, TTBK2A</t>
  </si>
  <si>
    <t>YAP1, CARMIL3, TEAD3A, NPHP3, NPHP4, NKD1</t>
  </si>
  <si>
    <t>GABRB3, MRS2, GRID2, CACNA2D3A, KCND2, TTYH2, KCNC2, GRIK5, CACNB3A, CACNA1SA, CACNA2D3, ITPR1B, CACNG3B, KCNH5B, KCNH4B, GRIN2CA, CLCN6, GRIN2AA, CACNA1HA, KCTD10, GABRR3A</t>
  </si>
  <si>
    <t>NGFRB, APAF1, TAX1BP1A, PAWR, FAM32A, BIRC6, CLPTM1L, FGFR3, GAPDH</t>
  </si>
  <si>
    <t>SEMA6BA, SEMA3FB, LRTM1, SLIT3</t>
  </si>
  <si>
    <t>SLIT3, NTN1A, NTN1B</t>
  </si>
  <si>
    <t>FGFR1A, IGF1RA, INSRB, CDH13, DDR2B, FGFR3</t>
  </si>
  <si>
    <t>PCDH15A, ITGB1A, CTNND1, CDH13, PKP4, ESAMB, CDH27, SI:CH211-186J3.6, ARVCFA</t>
  </si>
  <si>
    <t>PAX2A, NGFRB, NPHP3, EXOC5</t>
  </si>
  <si>
    <t>CACNA1HA, CACNA2D3A, CACNA1SA, CACNA2D3, ITPR1B, CACNG3B</t>
  </si>
  <si>
    <t>NTN1A, NTN1B</t>
  </si>
  <si>
    <t>ACAD8, PLA2G1B, ACSL1A, ALOX12, ACACB, AGPAT3, SREBF2, CEPT1B, NEU4, LPCAT4, CERS2A, PSAP, PNPLA3, ACAD11, ST6GALNAC4, ACSBG2</t>
  </si>
  <si>
    <t>CDKAL1, IDE, CAMK1DA</t>
  </si>
  <si>
    <t>PRKCG, PRKD4, RASA2, ARHGAP19, SEMA4F, TNS2A, ARHGAP36, ARHGAP29B, ARHGAP17B</t>
  </si>
  <si>
    <t>NR2F6B, SKILA, KDM1A, MIER2, FOXH1, PER1B, ZBTB34, CHD3, ZFPM2A, MTA3, ZNF740A</t>
  </si>
  <si>
    <t>FGFR1A, PDGFD, KITLGA, FGFR3, S100A10B, FGF22</t>
  </si>
  <si>
    <t>CCDC80, COL4A1, MMP2, MMP28, COL4A5, MMP16A, COL19A1</t>
  </si>
  <si>
    <t>GRIN2CA, GRIN2AA, GRID2, GRIK5</t>
  </si>
  <si>
    <t>OBSCNA, ITPK1B, FGFR1A, PIK3CD, TTBK2B, NELL2B, TTBK2A, SPEGB, INSRB, TRIOB, TLK2, PRKG2, IP6K2A, IKBKG, TRIOA, PRKCG, IGF1RA, LMTK2, CSNK2A2B, VRK1, PPIP5K1A, PIK3CA, NME6, PRKD4, CDK4, STK26, CNKSR3, ULK3, FAM20CB, FAM20CA, FGFR3, CAMK1DA</t>
  </si>
  <si>
    <t>SEMA6BA, SEMA3FB, SEMA4F, PLXNB1B</t>
  </si>
  <si>
    <t>PAX2A, NTN1A, VAX1</t>
  </si>
  <si>
    <t>YAP1, AP1G2, GSPT1L, AGAP2, NTN1A</t>
  </si>
  <si>
    <t>PAX2A, MECOM, NPHP3, NPHP4, EXOC5</t>
  </si>
  <si>
    <t>PARD3AA, MPP7A, PDLIM5A, CCDC85B, CTNND1, CDH13, PKP4, ESAMB, CDH27, SI:CH211-186J3.6, ARVCFA</t>
  </si>
  <si>
    <t>SYNE2B, ZGC:165507, CTNND1, HTRA1A, NTN1A, NTN1B, NELL2B, RPL7, ZUFSP, ACAD11, SBF2, PPP1R16B, PRKCG, CAST, SSU72, DLEC1, VRK1, SI:CH211-125O16.4, SND1, CRTC1A, ACAP1, ANK2B, ULK3, PKP4, CAMSAP2A, UBA52, RGS12B, ITPK1B, FGFR1A, KLHL14, UBA5, CACNB3A, PTPN4A, ARHGAP19, NEDD4L, NMD3, VPS26A, ALOX12, XPC, SI:CH1073-184J22.2, EIF3EB, GLCCI1A, ARVCFA, NEU4, KLC2, BAG3, CEP70, TRIOB, TRIOA, RAB11FIP3, S100A10B, FGF22, SPTBN1, ARPP19B, ASPSCR1, PER1B, PPIP5K1A, NFATC3A, CDK4, ZGC:194990, NACA, STK26, UBA2, LSM14B, FERMT2, ARHGAP29B, ARHGAP17B, CCDC88AB, MYO1HA, OLA1, PIK3CD, LRMP, DPYSL2B, MSI2B, THTPA, SKILA, PNP4A, XPO4, SH3PXD2B, KITLGA, ARIH2, HYDIN, TLK2, IP6K2A, IKBKG, ARHGEF18B, LRRCC1, OFD1, BCAS3, APAF1, MIOS, STRBP, GAB1, DARS2, PAWR, IL16, SEC14L8, WDR35, SI:CH211-232H12.2, ACTR2B, RABEP1, PIK3CA, INCENP, CNKSR3, PITPNM2, TERF2IP, EXOC5, GAPDH, ACSBG2, YAP1, EPS15L1A, OBSCNA, USO1, PPM1H, TTBK2B, TTBK2A, NKD1, AHRRB, MROH1, SRP72, TTN.2, CCDC85B, ANK1B, SPOP, PPP1R14C, USP20, ADARB1B, KLHL3, CDC42EP4B, S100W, MYO1B, MCM3AP, NIN, VPS41, PNPLA3, AQP11, SMAP1, PVALB4, CAMK1DA</t>
  </si>
  <si>
    <t>SYNE2B, PTPN4A, LRMP, KLC2, CCDC85B, ANK1B, KITLGA, CEP70, TLK2, NPHP4, RAB11FIP3, SPTBN1, OFD1, USP20, TMOD4, KLHL3, WDR35, CDC42EP4B, SI:CH211-232H12.2, PREPL, ACTR2B, NIN, INCENP, ANK2B, CAMSAP2A, GAPDH, FERMT2</t>
  </si>
  <si>
    <t>GABRB3, GRIN2CA, GRIN2AA, GRID2, SHANK2B, KCND2, KCNC2, GRIK5, GABRR3A, GABRG3, SHANK1</t>
  </si>
  <si>
    <t>SI:DKEY-196H17.9, EXOC7, EXOC5, TNFAIP2B</t>
  </si>
  <si>
    <t>CACNA1HA, CACNA2D3A, CACNA1SA, CACNB3A, CACNA2D3</t>
  </si>
  <si>
    <t>OFD1, AKNA, USP20, CCDC88AB, LRMP, WDR35, SI:CH211-232H12.2, NIN, CCDC85B, CEP70, RTTN, RAB11FIP3, LRRCC1</t>
  </si>
  <si>
    <t>KCNH4B, CACNA1HA, CACNA2D3A, KCND2, KCNC2, CACNA1SA, CACNA2D3, CACNG3B, KCNH5B</t>
  </si>
  <si>
    <t>OFD1, NPHP4, RTTN, TTBK2B, WDR35, TTBK2A</t>
  </si>
  <si>
    <t>SPON1A, BMP10, PLA2G1B, HTRA3B, PENKA, STC1, HTRA1A, NTN1A, NTN1B, C4B, SCUBE1, C9, PDGFD, PSAP, KITLGA, CEP70, ENPP1, TNXBA, SLIT3, NOTUM2, WNT7BA, OFD1, EGFL7, TGFB3, MMP2, ADMA, KERA, IL16, EMILIN2A, IGFBP5B, CCDC80, COL4A1, QPCT, COL4A5</t>
  </si>
  <si>
    <t>CCDC80, COL4A1, COL4A5, NTN1A, NTN1B</t>
  </si>
  <si>
    <t>NGFRB, NLGN1, EGFL7, SCUBE1, ITGB1A, JAM2B, CD4-1, ENPP1, PROM1A, FERMT2</t>
  </si>
  <si>
    <t>ESYT1A, KLHL14, EXT1C, USO1, ITPR1B, LRMP, AGPAT3, CEPT1B, NEU4, SRP72, EMC4, TMED5, TMEM30C, SSR3, ACSL1A, CDKAL1, ATP11A, SREBF2, SI:CH211-282J22.3, TMEM199, LMBRD1, LPCAT4, CERS2A, CALR, CLPTM1L, PROM1A, ACSBG2</t>
  </si>
  <si>
    <t>GRIN2CA, GRIN2AA, GRID2, GRIK5, CACNG3B</t>
  </si>
  <si>
    <t>CLCN6, LMBRD1, MIOS, GAA, VPS41, SLC38A9, DEPDC5, AP5B1</t>
  </si>
  <si>
    <t>NPHP4, TTBK2B, TTBK2A</t>
  </si>
  <si>
    <t>YAP1, PARD3AA, KCND2, ITGB1A, MPP7A, CCDC85B, TNS2A, SI:CH73-61D6.3, FERMT2</t>
  </si>
  <si>
    <t>SI:CH73-109D9.3, SKILA, NFATC3A, TEAD3A, FOXH1, SUB1A, E2F5, AHRRB, ZNF740A</t>
  </si>
  <si>
    <t>TMEM199, PARD3AA, STX8, RAB38B, CLPTM1L, AGPAT3, CDC42EP4B</t>
  </si>
  <si>
    <t>GABRB3, NLGN1, GRID2, KCND2, ITGB1A, GRIK5, GAA, CACNB3A, GRIN2CA, GRIN2AA, CNTN3A.2, RIMS2A, PTCHD4, GABRR3A, TANC1B, SHANK1</t>
  </si>
  <si>
    <t>SI:CH211-106N13.3, SRPX, FREM1B, FREM2B, ANGPT1, HTRA1A, TNXBA, CSPG4, COL19A1</t>
  </si>
  <si>
    <t>CHD9, MYO1HA, OLA1, PIK3CD, CHD3, LONP1, TLK2, PRKG2, ABCA1B, ADCY2B, PRKCG, IGF1RA, APAF1, EPHA8, DARS2, ACSL1A, LMTK2, ABCC9, VRK1, ATP11A, SMC1B, SUPV3L1, ACTR2B, NME6, PRKD4, PIK3CA, ULK3, FAM20CB, FAM20CA, OBSCNA, ITPK1B, FGFR1A, RTEL1, UBA5, SI:DKEY-119F1.1, DDX23, TTBK2B, TTBK2A, ACACB, ADCY3A, ATAD2B, SPEGB, TTN.2, INSRB, TRIOB, TRIOA, ZRANB3, HELZ, CSNK2A2B, SMARCA2, PPIP5K1A, MYO1B, CDK4, DDX3XB, STK26, UBA2, NAV2A, DDR2B, FGFR3, CAMK1DA</t>
  </si>
  <si>
    <t>GFM1, CHD9, MYO1HA, OLA1, PIK3CD, RAB38B, CHD3, REV3L, LONP1, TLK2, PRKG2, ABCA1B, ADCY2B, PRKCG, IGF1RA, APAF1, EPHA8, DARS2, ACSL1A, ABCC9, VRK1, ATP11A, SUPV3L1, ACTR2B, NME6, PRKD4, PIK3CA, ULK3, FAM20CB, FAM20CA, ARL9, OBSCNA, ITPK1B, FGFR1A, RTEL1, UBA5, SI:DKEY-119F1.1, DDX23, AGAP2, TTBK2B, TTBK2A, ACACB, ADCY3A, SPEGB, INSRB, TRIOB, TRIOA, ZRANB3, HELZ, CSNK2A2B, SMARCA2, PPIP5K1A, MYO1B, GSPT1L, CDK4, DDX3XB, STK26, UBA2, FGFR3, CAMK1DA</t>
  </si>
  <si>
    <t>GABRB3, GRID2, KCND2, KCNC2, GRIK5, CACNA1SA, ITPR1B, KCNH5B, KCNH4B, GRIN2CA, GRIN2AA, CACNA1HA, GABRR3A</t>
  </si>
  <si>
    <t>CACNA1HA, CACNA2D3A, CACNA1SA, CACNB3A, CACNA2D3, CACNG3B</t>
  </si>
  <si>
    <t>OBSCNA, ITPK1B, FGFR1A, PIK3CD, TTBK2B, NELL2B, TTBK2A, SPEGB, INSRB, TRIOB, TLK2, PRKG2, IP6K2A, IKBKG, TRIOA, PRKCG, IGF1RA, EPHA8, LMTK2, CSNK2A2B, VRK1, PPIP5K1A, PIK3CA, NME6, PRKD4, CDK4, STK26, CNKSR3, ULK3, FAM20CB, DDR2B, FAM20CA, FGFR3, CAMK1DA</t>
  </si>
  <si>
    <t>ESYT1A, EPS15L1A, CALM1A, PLA2G1B, CACNA1SA, ALOX12, VLDLR, NELL2B, LRP8, NKD1, SCUBE1, FREM2B, EFHD1, SLIT3, CDH27, RAB11FIP3, S100A10B, LRP1AA, PCDH15A, EGFL7, SI:CH211-282J22.3, S100W, NIN, LPCAT4, CDH13, CALR, SI:CH211-186J3.6, PVALB4, EFCC1</t>
  </si>
  <si>
    <t>RTEL1, CHD9, PLA2G1B, PTPN4A, DDX23, HTRA3B, OLA1, PPM1H, HTRA1A, MMP16A, SI:CH1073-184J22.2, IDE, CHD3, DPYSL2B, SENP3B, THTPA, TATDN3, IMMP2L, SENP8, MMP28, LONP1, ENPP1, PDE6B, NOTUM2, PDE6HB, ZRANB3, APAF1, USP20, GAA, MMP2, PGGHG, EPHX4, SSU72, PTPRGA, HELZ, TNS2A, SMARCA2, SI:CH211-282J22.3, SUPV3L1, PREPL, USP43A, DDX3XB, PNPLA3, PDE1CA, THOP1</t>
  </si>
  <si>
    <t>RASGRF2A, OBSCNA, DOCK11, DENND2C, SI:DKEY-65J6.2, PLEKHG7, TRIOB, SLC38A9, TRIOA, ARHGEF18B, SI:DKEY-82F1.1, SBF2</t>
  </si>
  <si>
    <t>PRKCG, OBSCNA, FGFR1A, IGF1RA, EPHA8, LMTK2, VRK1, CSNK2A2B, TTBK2B, TTBK2A, SPEGB, PRKD4, TTN.2, CDK4, STK26, INSRB, TRIOB, TLK2, ULK3, PRKG2, TRIOA, DDR2B, FGFR3, CAMK1DA</t>
  </si>
  <si>
    <t>EPS15L1A, CTNND1, CDH13, PKP4, CDH27, SI:CH211-186J3.6, ARVCFA</t>
  </si>
  <si>
    <t>SPON1A, CACNA1SA, EXT1C, PRDM5, RSF1B.1, TATDN3, ZUFSP, ENPP1, NUDT14, ADCY2B, PRKCG, CDKAL1, ZBTB34, ATP11A, ACAP1, PRKD4, RIMS2A, FAM20CB, FAM20CA, KMT2E, ZCCHC7, ITPK1B, RTEL1, UBA5, ZGC:175214, AGAP2, ALOX12, SLC1A5, NRXN2B, ACACB, NR2F6B, TAX1BP1A, ZBBX, SLC38A9, RAB11FIP3, S100A10B, ZRANB3, ZFHX2, HELZ, GRIN2AA, PARP12A, TBXAS1, UBA2, RORCB, SP9, ZCCHC2, ARHGAP29B, TRIM71, OLA1, CHD3, ZC3H6, IDE, EEA1, THTPA, ING2, MECOM, MMP28, REV3L, ARIH2, EFHD1, IKBKG, PGM1, MIOS, MMP2, TOP3A, NRXN1A, ZFPM2A, NME6, RASA2, PITPNM2, SI:DKEY-10O6.2, PDE1CA, THOP1, ZNF740A, EPS15L1A, PLA2G1B, MICALL1A, MMP16A, NKD1, ADCY3A, SI:CH73-109D9.3, HECTD1, SI:CH73-109D9.2, KDM7AB, PDE6B, MTA3, USP20, PDLIM5A, SI:CH73-181D5.4, TNS2A, SI:CH211-282J22.3, S100W, CACNA1HA, LPCAT4, VPS41, SMAP1, PVALB4</t>
  </si>
  <si>
    <t>ACAD8, GCDHA, ACAD11</t>
  </si>
  <si>
    <t>TRIM71, KDM1A, EXT1C, PRDM5, PIK3CD, GALNT18B, NELL2B, PNP4A, MECOM, REV3L, ARIH2, TLK2, PRKG2, IP6K2A, IKBKG, PRKCG, IGF1RA, EPHA8, LMTK2, CDKAL1, VRK1, PIGC, NME6, PRKD4, PIK3CA, CNKSR3, ULK3, FAM20CB, GAPDH, ST6GALNAC4, FAM20CA, OBSCNA, ITPK1B, FGFR1A, TTBK2B, TTBK2A, AGPAT3, CEPT1B, HECTD1, SPEGB, INSRB, TRIOB, TRIOA, CSNK2A2B, PPIP5K1A, CMASA, CDK4, LPCAT4, CERS2A, NDUFAF7, QPCT, STK26, UBA2, DDR2B, FGFR3, CAMK1DA</t>
  </si>
  <si>
    <t>ACAP1, RABEP1, SGSM3, RASA2, ARHGAP19, AGAP2, DEPDC5, SMAP1, ARHGAP29B, ARHGAP17B, RGS12B</t>
  </si>
  <si>
    <t>YAP1, PCDH15A, NTN1A, SEC14L8, NTN1B, ZFPM2A, NGFRB, CSF1B, EPYC, KCTD10, IKBKG, FGFR3, OPCML, WU:FC46H12</t>
  </si>
  <si>
    <t>GABRB3, TTYH2, ANO10B, GABRR3A, ANO3</t>
  </si>
  <si>
    <t>SUPV3L1, ZRANB3, RTEL1, DDX3XB, DDX23, HELZ, CHD3</t>
  </si>
  <si>
    <t>PIK3CA, PIK3CD</t>
  </si>
  <si>
    <t>GABRB3, GRID2, CACNA2D3A, KCND2, TTYH2, KCNC2, GRIK5, CACNA1SA, CACNA2D3, ITPR1B, CACNG7A, PKD2L1, CACNG3B, KCNH5B, GRIN2DA, KCNH4B, GRIN2CA, GRIN2AA, KCNK3A, CACNA1HA, KCTD10, TRPM7, GABRR3A</t>
  </si>
  <si>
    <t>PRKCG, FGFR1A, EGFL7, NRG3B, NR6A1A, VLDLR, TNS2A, LRP8, NELL2B, PRKD4, PRKD3, WNT7BA, ARHGAP29B, LRP1AA</t>
  </si>
  <si>
    <t>LETM1, CACNA1HA, CACNA2D3A, CACNA1SA, CACNA2D3, ITPR1B, CACNG7A, TRPM7, PKD2L1, CACNG3B</t>
  </si>
  <si>
    <t>YAP1, PCDH15A, ZMP:0000001082, NLGN1, SPON1A, TENM3, ITGB1A, PCDH20, ITGB3B, CTNND1, NRXN1A, CELSR3, ARVCFA, PARD3AA, FREM1B, FREM2B, KITLGA, ZGC:152904, CDH13, PKP4, CDH27, SI:CH211-186J3.6, SI:CH211-66E2.5, FERMT2</t>
  </si>
  <si>
    <t>CACNA1HA, CACNA2D3A, CACNA1SA, CACNB3A, CACNA2D3, ITPR1B, CACNG7A, TRPM7, PKD2L1, CACNG3B</t>
  </si>
  <si>
    <t>PAX2A, RPGRB, ITGB1A, LAMB2, MMP2, MMP28, PER1B, PDE6B, EXOC5, VAX1, CADM2B</t>
  </si>
  <si>
    <t>CTNND1, CDH13, PKP1, PKP4, CDH27, SI:CH211-186J3.6, ARVCFA</t>
  </si>
  <si>
    <t>YAP1, MEIS1B, AP1G2, GSPT1L, LGALS2A, PDCD10B, AGAP2, NTN1A</t>
  </si>
  <si>
    <t>USP37, CFDP1, USP20, ESRP2, MYO1HA, NOLC1, ITPR1B, B4GALT7</t>
  </si>
  <si>
    <t>MEIS1B, FGFR1A, TSC22D1, PDGFD, KITLGA, TCF7L1B, FGFR3, S100A10B, FGF22</t>
  </si>
  <si>
    <t>EEA1, PCDH15A, TFR1A, EPS15L1A, MYO1B, RABEP1, USP20, MYO1HA, VLDLR, LRP8, LRP1AA</t>
  </si>
  <si>
    <t>ACAD8, PLA2G1B, ACSL1A, ALOX12, ACACB, AGPAT3, SREBF2, CEPT1B, NEU4, LPCAT4, CERS2A, GDPD4A, PSAP, LPCAT2, PNPLA3, ANGPTL3, DPEP1, PLCE1, SPTSSB, DECR2, ACAD11, ST6GALNAC4, ACSBG2</t>
  </si>
  <si>
    <t>PAX2A, NIN, NR6A1A, RNF152, FGF22</t>
  </si>
  <si>
    <t>GABRB3, MRS2, TTYH2, CACNA2D3A, KCNC2, GRIK5, CACNB3A, CACNA1SA, CACNG7A, ITPR1B, PKD2L1, CACNG3B, KCNK3A, SLC39A9, TRPM7, GABRR3A, GRID2, KCND2, CACNA2D3, KCNH5B, GRIN2DA, KCNH4B, LETM1, GRIN2CA, CLCN6, GRIN2AA, CACNA1HA, KCTD10</t>
  </si>
  <si>
    <t>SEMA6BA, SLIT1A, SEMA3FB, LRTM1, SLIT3</t>
  </si>
  <si>
    <t>SLC7A8A, GRID2, SLC7A7, SLC38A9</t>
  </si>
  <si>
    <t>YAP1, PCDH15A, RSPH4A, TEAD3A, TTBK2B, WDR35, TTBK2A, CCDC28B, PAX2A, RPGRB, RABEP1, CEP70, NPHP3, TOGARAM1, EXOC5</t>
  </si>
  <si>
    <t>ATF7IP, MEIS1B, BAG3, GAPDH</t>
  </si>
  <si>
    <t>NGFRB, APAF1, PDCD10B, TAX1BP1A, PAWR, FAM32A, BIRC6, CLPTM1L, RNF152, FGFR3, GAPDH</t>
  </si>
  <si>
    <t>GRIN2CA, GRIN2AA, GRIN2DA</t>
  </si>
  <si>
    <t>VPS26BL, STX8, USO1, ASPSCR1, RAB38B, VPS26A, GGA1, AP1G2, VPS41, SRPRB, CLTCB, RIMS2A, SEC24C, TMED5</t>
  </si>
  <si>
    <t>TRIM71, MEIS1B, USP37, CDK4</t>
  </si>
  <si>
    <t>GRIN2CA, GRIN2AA, GRID2, GRIK5, GRIN2DA</t>
  </si>
  <si>
    <t>SEMA6BA, LAMB2, EPHA8, SLIT1A, SEMA3FB, LRTM1, CNTN3A.2, TRIOB, SLIT3, SEMA4F, TRIOA, PLXNB1B</t>
  </si>
  <si>
    <t>CCDC80, FKRP, COL4A1, MMP2, MMP28, ABI3BPB, COL4A5, MMP16A, COL19A1</t>
  </si>
  <si>
    <t>PCDH15A, ZMP:0000001082, ITGB1A, CTNND1, CDH13, PKP1, PKP4, ESAMB, CDH27, SI:CH211-186J3.6, ARVCFA</t>
  </si>
  <si>
    <t>BECN1, DEPDC5, RNF152</t>
  </si>
  <si>
    <t>KDM1A, ZBTB38, FOXH1, PER1B, ZBTB34, CHD3, ZFPM2A, NR2F6B, SKILA, MIER2, PAF1, CHD4B, MTA3, ZNF740A</t>
  </si>
  <si>
    <t>NLGN1, SCUBE1, LGALS2A, KCTD10, INSRB, CDH13, NRXN1A, JMJD6</t>
  </si>
  <si>
    <t>KMT2E, NKX2.9, TEAD3A, NKX2.7, KDM1A, ESR2B, PRDM5, NR6A1A, RSF1B.1, FOXM1, AHRRB, PAX2A, NR2F6B, DBX1A, E2F5, MTA3, PKNOX2, POU2F2A, ATF7IP, MEIS1B, FOSL1A, TAF15, ZFHX2, FOXH1, SEBOX, SUB1A, BRD3A, HELZ, FOXN4, HER4.2, VAX1, ALX4A, SMARCA2, NFATC3A, MTF2, SMAD4A, TERF2IP, RORCB, POU2F1B, HOXC1A, HOXC3A</t>
  </si>
  <si>
    <t>PLA2G12B, PLA2G1B, LPCAT4, LPCAT2</t>
  </si>
  <si>
    <t>PAX2A, KDM7AB, TCF7L1B, FGF22</t>
  </si>
  <si>
    <t>PCDH15A, FREM2B, TENM3, PCDH20, CNTN3A.2, CDH13, ESAMB, CDH27, SI:CH211-186J3.6, CELSR3, CADM2B</t>
  </si>
  <si>
    <t>MIOS, DEPDC5, RNF152</t>
  </si>
  <si>
    <t>FH, SLC7A7</t>
  </si>
  <si>
    <t>DAAM2, PRDM5</t>
  </si>
  <si>
    <t>SLC38A9, GNMT</t>
  </si>
  <si>
    <t>CFDP1, KDM4C, KDM1A, BRD3A, CHD3, CHD4B, HDGFL2</t>
  </si>
  <si>
    <t>PPP1R37, CARMIL3, PIK3CA, ITGB1A, LAMB2, ITGB3B, NR6A1A, CDH13, PIK3CD, FERMT2</t>
  </si>
  <si>
    <t>OFD1, RPGRB, CEP70</t>
  </si>
  <si>
    <t>PIP4P1B, MIOS, GAA, HPS4, AP5B1, CLCN6, LMBRD1, VPS41, SLC38A9, DEPDC5, RNF152, ZGC:123258, SLC37A3</t>
  </si>
  <si>
    <t>PARD3AA, MPP7A, PDLIM5A, CCDC85B, CTNND1, CDH13, PKP1, PKP4, ESAMB, CDH27, SI:CH211-186J3.6, ARVCFA</t>
  </si>
  <si>
    <t>GHDC, SYNE2B, ZGC:165507, CTNND1, HTRA1A, NTN1A, NTN1B, ADARB2, NELL2B, RPL7, RPGRB, ZUFSP, SLC39A9, MAP3K9, ACAD11, SBF2, PPP1R16B, PRKCG, CAST, SSU72, DLEC1, VRK1, SI:CH211-125O16.4, SND1, IGFBP1A, JMJD6, CRTC1A, ACAP1, PRKD3, ANK2B, ULK3, PKP1, PKP4, CAMSAP2A, UBA52, HDGFL2, IDO1, RGS12B, ITPK1B, FGFR1A, KLHL14, PDCD10B, UBA5, CACNB3A, PTPN4A, NR6A1A, ARHGAP19, NEDD4L, NMD3, VPS26A, ALOX12, XPC, SI:CH1073-184J22.2, SI:CH211-204C21.1, USP12A, EIF3EB, GLCCI1A, ARVCFA, NEU4, KLC2, BAG3, CEP70, EIF4EBP1, TRIOB, TRIOA, SULT5A1, RAB11FIP3, S100A10B, FGF22, SPTBN1, MYO5AA, VPS26BL, ARPP19B, ASPSCR1, PER1B, PPIP5K1A, NFATC3A, CDK4, ZGC:194990, NACA, STK26, RANBP10, UBA2, LSM14B, FERMT2, ARHGAP29B, ARHGAP17B, CCDC88AB, PDZRN3B, ELAVL4, MYO1HA, OLA1, PIK3CD, LRMP, RGS7A, DPYSL2B, MSI2B, THTPA, SKILA, KIF19, DUSP10, PNP4A, XPO4, SH3PXD2B, KITLGA, ARIH2, HYDIN, TLK2, IP6K2A, IKBKG, ARHGEF18B, LRRCC1, OFD1, BCAS3, APAF1, DST, TSC22D1, MIOS, VBP1, STRBP, GAB1, DARS2, PAWR, IL16, SEC14L8, KIF23, WDR35, SI:CH211-232H12.2, ACTR2B, RABEP1, PIK3CA, INCENP, SB:CB1081, SMAD4A, CNKSR3, PITPNM2, TERF2IP, EXOC5, GAPDH, ACSBG2, YAP1, EPS15L1A, BECN1, OBSCNA, FH, USO1, PPM1H, TTBK2B, TTBK2A, NKD1, AHRRB, ECPAS, MROH1, RPS15A, SRP72, TTN.2, CCDC85B, ANK1B, SPOP, RSPH4A, PPP1R14C, USP20, ADARB1B, KLHL3, SMCR8A, CDC42EP4B, S100W, MYO1B, MCM3AP, NIN, VPS41, PNPLA3, AQP11, ETFBKMT, SMAP1, PVALB4, CAMK1DA</t>
  </si>
  <si>
    <t>BECN1, FGFR1A, PDCD10B, EXT1C, UBA5, USO1, GALNT18B, TMBIM1A, RAB38B, ZGC:77880, GGA1, CEPT1B, AP1G2, SLC39A9, RAB11FIP3, TMED5, FKRP, TMEM30B, TMEM30C, ICAL1, SREBF2, PREPL, STK26, VPS41, LPCAT2, SRPRB, FAM20CB, FAM20CA, B4GALT7, ST6GALNAC4, SLC29A3</t>
  </si>
  <si>
    <t>SYNE2B, PTPN4A, EPB41A, LRMP, KIF19, KLC2, CCDC85B, ANK1B, KITLGA, CEP70, TLK2, NPHP4, RAB11FIP3, SPTBN1, OFD1, RSPH4A, DST, USP20, TMOD4, KIF23, KLHL3, WDR35, CDC42EP4B, SI:CH211-232H12.2, PREPL, ACTR2B, NIN, INCENP, ANK2B, CAMSAP2A, GAPDH, FERMT2</t>
  </si>
  <si>
    <t>GRIN2CA, GRIN2AA, GRID2, GRIK5, CACNG7A, CACNG3B, GRIN2DA</t>
  </si>
  <si>
    <t>GABRB3, GRIN2CA, GRIN2AA, GRID2, SHANK2B, KCND2, KCNC2, GRIK5, GABRR3A, GABRG3, SHANK1, GRIN2DA</t>
  </si>
  <si>
    <t>OFD1, AKNA, USP20, CCDC88AB, SSNA1, LRMP, WDR35, SI:CH211-232H12.2, CCDC28B, NIN, CCDC85B, CEP70, RTTN, RAB11FIP3, LRRCC1</t>
  </si>
  <si>
    <t>OFD1, SSNA1, NPHP4, RTTN, TTBK2B, WDR35, TTBK2A</t>
  </si>
  <si>
    <t>SI:CH211-106N13.3, SRPX, ANGPT1, LGALS2A, HTRA1A, COL19A1, FREM1B, FREM2B, ANGPTL3, ABI3BPB, TNXBA, CSPG4, ANGPTL5</t>
  </si>
  <si>
    <t>KCNH4B, CACNA1HA, CACNA2D3A, KCND2, KCNC2, CACNA1SA, CACNA2D3, CACNG7A, CACNG3B, KCNH5B</t>
  </si>
  <si>
    <t>NKX2.9, SYNE2B, RPL3, NKX2.7, KDM1A, CTNND1, PRDM5, GPATCH2, THYN1, RSF1B.1, TATDN3, ZUFSP, GTF3AB, SLC39A9, ARL6IP4, PKNOX2, MEIS1B, ZBTB38, RAD21L1, FOXH1, SSU72, HER4.5, VRK1, CDYL, HER4.2, SI:CH211-125O16.4, SND1, MED6, JMJD6, SI:DKEY-109J17.5, CRTC1A, CFDP1, PKP1, PKP4, UBA52, HDGFL2, POU2F1B, RGS12B, PTBP1B, FGFR1A, RTEL1, UBA5, ESR2B, NR6A1A, AGAP2, EPB41A, NOLC1, NMD3, BAZ2A, ALOX12, XPC, USP12A, EIF3EB, ARVCFA, NR2F6B, CHTF8, PDCD11, BAG3, MIER2, S100A10B, POU2F2A, FOSL1A, AKIRIN1, ZFHX2, TDG.1, SI:DKEY-210J14.3, ASPSCR1, PER1B, HELZ, CSNK2A2B, FOXN4, WU:FC17B08, ALX4A, SMARCA2, CMASA, NFATC3A, CDAN1, CDK4, DDX3XB, NACA, PARP12A, RFXAP, TAF4A, PAF1, UBA2, ANP32B, TMEM18, RORCB, SP9, RSL24D1, FERMT2, HOXC3A, USP37, TEAD3A, CHD9, OLA1, LRMP, CHD3, ZC3H6, FOXM1, SENP3B, PAX2A, PSME4A, SKILA, ING2, XPO4, MECOM, DBX1A, REV3L, UBTF, TLK2, SI:CH211-281P14.2, IP6K2A, IKBKG, CHD4B, OFD1, TSC22D1, TOP3A, SEBOX, IL16, KIF23, BRD3A, ZFPM2A, SREBF2, SMC1B, SUPV3L1, ACTR2B, SCAF4A, ESRP2, INCENP, SMAD4A, MTF2, DMC1, TERF2IP, LCOR, FAM32A, BIRC6, GAPDH, HOXC1A, ZNF740A, YAP1, SF3B5, FH, POLDIP2, SI:DKEY-119F1.1, PPM1H, TCF7L1B, TTBK2B, TTBK2A, AHRRB, ATAD2B, ECPAS, CEPT1B, SI:CH73-109D9.3, RPS15A, TTN.2, CCDC85B, SI:CH73-109D9.2, SPOP, POLR2F, KDM7AB, E2F5, MTA3, PURG, ATF7IP, SMARCE1, SLF1, KDM4C, TAF15, SUB1A, SI:CH73-181D5.4, SMCR8A, VAX1, WDR12, FIBPA, MCM3AP, CERS2A, PPM1LA, NCAPD3</t>
  </si>
  <si>
    <t>ESYT1A, BECN1, KLHL14, RPN2, EXT1C, USO1, TMBIM1A, ITPR1B, LRMP, AGPAT3, ERLEC1, ZGC:77880, CEPT1B, NEU4, SRP72, EMC4, SPTSSB, TMED5, TMEM30B, TMEM30C, SSR3, ACSL1A, CDKAL1, ATP11A, SREBF2, SI:CH211-282J22.3, TMEM199, LMBRD1, LPCAT4, CERS2A, LPCAT2, CALR, CLPTM1L, PROM1A, ACSBG2</t>
  </si>
  <si>
    <t>PIP4P1B, MIOS, GAA, RAB38B, NEU4, LMBRD1, CTSO, VPS41, PSAP, RAB9A, SLC38A9, RNF152, CTSC</t>
  </si>
  <si>
    <t>SUPV3L1, POLDIP2, ATAD3</t>
  </si>
  <si>
    <t>SPON1A, BMP10, NRG3B, PLA2G1B, SLIT1A, HTRA3B, PENKA, STC1, HTRA1A, NTN1A, NTN1B, C4B, RPGRB, SCUBE1, C9, PDGFD, PSAP, KITLGA, CEP70, FMODB, ENPP1, TNXBA, SLIT3, NOTUM2, WNT7BA, OFD1, AHSG2, EGFL7, PLA2G12B, TGFB3, MMP2, ADMA, KERA, IL16, EMILIN2A, IGFBP5B, UCMAB, IGFBP1A, CCDC80, COL4A1, QPCT, COL4A5, ZGC:162941</t>
  </si>
  <si>
    <t>CHD3, CHD4B, MTA3</t>
  </si>
  <si>
    <t>YAP1, AKIRIN1, KDM4C, ESR2B, FOXH1, NR6A1A, TCF7L1B, BRD3A, LRMP, CHD3, CHD4B</t>
  </si>
  <si>
    <t>ADARB1B, OLA1, NOLC1, ADARB2, WDR12, JMJD6, SENP3B, RSL1D1, RPS15A, PDCD11, ARL6IP4, FAM32A, RSL24D1</t>
  </si>
  <si>
    <t>ATF7IP, SI:CH73-109D9.3, SKILA, NFATC3A, TEAD3A, FOXH1, SMAD4A, SUB1A, E2F5, AHRRB, ZNF740A</t>
  </si>
  <si>
    <t>NGFRB, NLGN1, EGFL7, SCUBE1, ITGB1A, JAM2B, ITGB3B, CD4-1, ENPP1, PROM1A, FERMT2</t>
  </si>
  <si>
    <t>USP37, CHD9, OLA1, HTRA1A, CHD3, IDE, OPLAH, DPYSL2B, SENP3B, THTPA, TATDN3, IMMP2L, DUSP10, SENP8, MMP28, LONP1, ENPP1, PLCE1, CHD4B, NOTUM2, CTSC, APAF1, MMP2, GAA, PGGHG, SSU72, PTPRGA, ACYP1, SUPV3L1, PREPL, USP43A, EIF4A1B, DDAH1, PTRH2, DPEP1, PDE1CA, THOP1, PIP4P1B, RTEL1, PLA2G1B, PTPN4A, DDX23, PPM1H, HTRA3B, SI:CH1073-184J22.2, MMP16A, USP12A, DHX38, PDE6B, PDE6HB, CPA4, ZRANB3, USP20, TDG.1, EPHX4, HELZ, TNS2A, SMARCA2, SI:CH211-282J22.3, DDX3XB, PPM1LA, PNPLA3, REN, ZGC:123258, ZGC:162941</t>
  </si>
  <si>
    <t>ESYT1A, EPS15L1A, CALM1A, PLA2G1B, CACNA1SA, SLIT1A, ALOX12, PKD2L1, VLDLR, CBL, NELL2B, LRP8, CELSR3, NKD1, SCUBE1, FREM2B, EFHD1, SLIT3, CDH27, RAB11FIP3, S100A10B, LRP1AA, PCDH15A, EGFL7, PLA2G12B, DST, PCDH20, SI:CH211-282J22.3, LETM1, S100W, NIN, LPCAT4, LPCAT2, CDH13, CALR, SI:CH211-186J3.6, PVALB4, EFCC1</t>
  </si>
  <si>
    <t>RASGRF2A, OBSCNA, DENND2C, PLEKHG7, HPS4, SMCR8A, DOCK11, SI:DKEY-65J6.2, ARHGEF10LB, TRIOB, ARHGEF4, PLCE1, SLC38A9, TRIOA, ARHGEF18B, SI:DKEY-82F1.1, SBF2</t>
  </si>
  <si>
    <t>CACNA1HA, CACNA2D3A, CACNA1SA, CACNB3A, CACNA2D3, CACNG7A, CACNG3B</t>
  </si>
  <si>
    <t>GABRB3, GRID2, KCND2, KCNC2, GRIK5, CACNA1SA, ITPR1B, KCNH5B, GRIN2DA, KCNH4B, GRIN2CA, GRIN2AA, CACNA1HA, TRPM7, GABRR3A</t>
  </si>
  <si>
    <t>CACNA1HA, CACNA2D3A, CACNA1SA, CACNA2D3, ITPR1B, CACNG7A, TRPM7, PKD2L1, CACNG3B</t>
  </si>
  <si>
    <t>GFM1, CHD9, CKMT2B, MYO1HA, OLA1, PIK3CD, RAB38B, CHD3, KIF19, REV3L, LONP1, TLK2, PRKG2, MAP3K9, ABCA1B, CHD4B, ADCY2B, PRKCG, IGF1RA, APAF1, EPHA8, DARS2, ACSL1A, ABCC9, VRK1, KIF23, ATP11A, SUPV3L1, ACTR2B, EIF4A1B, NME6, PRKD4, PIK3CA, PRKD3, DMC1, ULK3, FAM20CB, FAM20CA, ARL9, OBSCNA, ITPK1B, FGFR1A, RTEL1, UBA5, SI:DKEY-119F1.1, DDX23, AGAP2, TTBK2B, TTBK2A, ACACB, ADCY3A, SPEGB, INSRB, TRIOB, DHX38, TRPM7, TRIOA, ZRANB3, MYO5AA, ATAD3, HELZ, CSNK2A2B, SMARCA2, PPIP5K1A, MYO1B, GSPT1L, CDK4, DDX3XB, STK26, RAB9A, UBA2, SRPRB, FGFR3, CAMK1DA</t>
  </si>
  <si>
    <t>CHD9, CKMT2B, MYO1HA, OLA1, PIK3CD, CHD3, KIF19, LONP1, TLK2, PRKG2, MAP3K9, ABCA1B, CHD4B, ADCY2B, PRKCG, IGF1RA, APAF1, EPHA8, DARS2, ACSL1A, LMTK2, ABCC9, VRK1, KIF23, ATP11A, SMC1B, SUPV3L1, ACTR2B, EIF4A1B, NME6, PRKD4, PIK3CA, PRKD3, DMC1, ULK3, FAM20CB, FAM20CA, OBSCNA, ITPK1B, FGFR1A, RTEL1, UBA5, SI:DKEY-119F1.1, DDX23, TTBK2B, TTBK2A, ACACB, ADCY3A, ATAD2B, SPEGB, TTN.2, INSRB, TRIOB, DHX38, TRPM7, TRIOA, ZRANB3, MYO5AA, ATAD3, HELZ, CSNK2A2B, SMARCA2, PPIP5K1A, MYO1B, CDK4, DDX3XB, STK26, UBA2, NAV2A, DDR2B, FGFR3, CAMK1DA</t>
  </si>
  <si>
    <t>SUPV3L1, ZRANB3, RTEL1, EIF4A1B, DDX3XB, DDX23, DHX38, HELZ, CHD3, CHD4B</t>
  </si>
  <si>
    <t>SPON1A, LGALS2A, CACNA1SA, EXT1C, PRDM5, PKD2L1, RSF1B.1, TATDN3, ZUFSP, GTF3AB, ENPP1, NUDT14, ADCY2B, PRKCG, ZMP:0000001082, ZBTB38, CDKAL1, ZBTB34, ATP11A, JMJD6, ACAP1, PRKD4, PRKD3, DPEP1, RIMS2A, FAM20CB, SI:CH211-10D23.5, FAM20CA, IDO1, KMT2E, ZCCHC7, ITPK1B, RTEL1, UBA5, ESR2B, ZGC:175214, NR6A1A, AGAP2, BAZ2A, ALOX12, SLC1A5, NRXN2B, USP12A, ACACB, NR2F6B, TAX1BP1A, ZBBX, TRPM7, SLC38A9, RAB11FIP3, S100A10B, CPA4, ZRANB3, ZFHX2, SI:DKEY-210J14.3, HELZ, GRIN2AA, PARP12A, TBXAS1, UBA2, RORCB, SP9, ZCCHC2, ARHGAP29B, TRIM71, RNF10, PDZRN3B, OLA1, CHD3, ZC3H6, IDE, EEA1, THTPA, ING2, MECOM, MMP28, REV3L, ARIH2, EFHD1, IKBKG, CHD4B, RNF152, PGM1, DST, MIOS, MMP2, TOP3A, NRXN1A, ZFPM2A, NME6, LNX2A, SMAD4A, MTF2, RASA2, PITPNM2, SI:DKEY-10O6.2, PDE1CA, B4GALT7, THOP1, ZNF740A, EPS15L1A, PLA2G1B, MICALL1A, MMP16A, CBL, NKD1, ADCY3A, TDO2B, SI:CH73-109D9.3, HECTD1, SI:CH73-109D9.2, KDM7AB, PDE6B, MTA3, KDM4C, TAF15, USP20, PDLIM5A, SI:CH73-181D5.4, TNS2A, SI:CH211-282J22.3, LETM1, S100W, CACNA1HA, LPCAT4, VPS41, PPM1LA, LPCAT2, SMAP1, PVALB4</t>
  </si>
  <si>
    <t>ZRANB3, CHD9, CHD3, CHD4B, SMARCA2</t>
  </si>
  <si>
    <t>EPS15L1A, CTNND1, CDH13, PKP1, PKP4, CDH27, SI:CH211-186J3.6, ARVCFA</t>
  </si>
  <si>
    <t>NKX2.9, TEAD3A, NKX2.7, CHD9, CHD3, FOXM1, PAX2A, TIAL1, GTF3AB, MECOM, DBX1A, REV3L, LONP1, UBTF, CHD4B, PKNOX2, MEIS1B, STRBP, FOXH1, TOP3A, SEBOX, HER4.2, ZFPM2A, SREBF2, SMC1B, SUPV3L1, MTF2, DMC1, LCOR, HOXC1A, POU2F1B, ZNF740A, RTEL1, POLDIP2, ESR2B, NR6A1A, TCF7L1B, BAZ2A, XPC, NR2F6B, CHTF8, POLR2F, E2F5, PURG, POU2F2A, SMARCE1, FOSL1A, ZFHX2, SI:DKEY-210J14.3, SUB1A, HELZ, FOXN4, VAX1, ALX4A, SMARCA2, NFATC3A, CERS2A, TAF4A, TMEM18, RORCB, SP9, HOXC3A</t>
  </si>
  <si>
    <t>OBSCNA, ITPK1B, FGFR1A, CKMT2B, PIK3CD, TTBK2B, NELL2B, TTBK2A, SPEGB, INSRB, TRIOB, TLK2, PRKG2, IP6K2A, TRPM7, IKBKG, TRIOA, MAP3K9, PRKCG, SI:CH211-160B11.4, IGF1RA, EPHA8, LMTK2, CSNK2A2B, VRK1, PPIP5K1A, PIK3CA, NME6, PRKD4, CDK4, PRKD3, STK26, CNKSR3, ULK3, FAM20CB, DDR2B, FAM20CA, FGFR3, CAMK1DA</t>
  </si>
  <si>
    <t>TDO2B, KDM4C, SI:DKEY-10O6.2, KDM7AB, ALOX12, JMJD6, IDO1</t>
  </si>
  <si>
    <t>SLC7A8A, SLC7A7, SLC38A8B, SLC38A9</t>
  </si>
  <si>
    <t>ARHGAP19, AGAP2, SMCR8A, RGS7A, ACAP1, RABEP1, SGSM3, RASA2, DEPDC5, SMAP1, ARHGAP29B, ARHGAP17B, TBC1D16, RGS12B</t>
  </si>
  <si>
    <t>PPP1R37, PPP1R14C, ARPP19B, PHACTR2</t>
  </si>
  <si>
    <t>LPCAT4, LPCAT2, AGPAT3</t>
  </si>
  <si>
    <t>RNF10, PRDM5, FOXH1, SMAD4A, PER1B, FOXN4, AHRRB</t>
  </si>
  <si>
    <t>USP37, USP20, APAF1, MMP2, HTRA3B, HTRA1A, IDE, MMP16A, USP12A, SENP3B, PREPL, USP43A, IMMP2L, SENP8, MMP28, LONP1, DPEP1, REN, THOP1, CTSC, CPA4</t>
  </si>
  <si>
    <t>TRIM71, HECTD1, KCTD10, LNX2A, PDZRN3B, ARIH2, NEDD4L, BIRC6, CBL, RNF152</t>
  </si>
  <si>
    <t>SMARCC2, ANP32B, NCAPD3, RSF1B.1, CHD3, CHD4B, SMARCA2, ATAD2B</t>
  </si>
  <si>
    <t>BECN1, IGF1RA, INSRB</t>
  </si>
  <si>
    <t>SLIT1A, LRTM1, SLIT3</t>
  </si>
  <si>
    <t>SUPV3L1, DHX38</t>
  </si>
  <si>
    <t>PTBP1B, SF3B5, ZCCHC7, RPL3, SFSWAP, ELAVL4, ZC3H6, ADARB2, RPL7, MSI2B, TIAL1, ENOX2, RBM25B, RPL7A, PDCD11, DHX38, TAF15, UTP4, TENT5BB, STRBP, ADARB1B, HELZ, LARP4B, SND1, JMJD6, RSL1D1, SCAF4A, MCM3AP, EIF4A1B, ESRP2, LSM14B, UBA52</t>
  </si>
  <si>
    <t>RTEL1, ATAD3, OLA1, ABCC9, KIF23, ATP11A, CHD3, ATAD2B, SMC1B, SUPV3L1, KIF19, DMC1, LONP1, NAV2A, CHD4B, ABCA1B</t>
  </si>
  <si>
    <t>ITGB1A, ITGB3B, IGFBP5B</t>
  </si>
  <si>
    <t>ESYT1A, PARD3AA, TOM1L2, GGA1, SH3PXD2B, PITPNM2</t>
  </si>
  <si>
    <t>YAP1, MEIS1B, PCDH15A, ITGB3B, NTN1A, SEC14L8, NTN1B, ZFPM2A, NGFRB, CSF1B, EPYC, KCTD10, SMAD4A, IKBKG, FGFR3, OPCML, WU:FC46H12</t>
  </si>
  <si>
    <t>SI:CH211-204C21.1, TMED5, LRP1AA</t>
  </si>
  <si>
    <t>IGF1RA, IGFBP5B, IGFBP1A</t>
  </si>
  <si>
    <t>TDO2B, IDO1</t>
  </si>
  <si>
    <t>SI:DKEY-10O6.2, KDM7AB, JMJD6</t>
  </si>
  <si>
    <t>SUPV3L1, STRBP, ADARB1B, ADARB2</t>
  </si>
  <si>
    <t>SI:CH211-160B11.4, GRIN2CA, NLGN1, GRIN2AA, GRID2, ITGB1A, GRIK5, GFRA1B, GRIN2DA</t>
  </si>
  <si>
    <t>TRIM71, KDM1A, EXT1C, CKMT2B, PRDM5, PDZRN3B, PIK3CD, GALNT18B, NELL2B, PNP4A, MECOM, REV3L, ARIH2, TLK2, PRKG2, IP6K2A, IKBKG, MAP3K9, RNF152, PRKCG, SI:CH211-160B11.4, IGF1RA, EPHA8, LMTK2, CDKAL1, VRK1, PIGC, NME6, PRKD4, PIK3CA, PRKD3, CNKSR3, ULK3, FAM20CB, GAPDH, ST6GALNAC4, FAM20CA, B4GALT7, OBSCNA, ITPK1B, FGFR1A, TTBK2B, CBL, TTBK2A, AGPAT3, ZGC:77880, CEPT1B, HECTD1, SPEGB, INSRB, TRIOB, TRPM7, TRIOA, SULT5A1, CSNK2A2B, GNMT, PPIP5K1A, CMASA, CDK4, LPCAT4, CERS2A, NDUFAF7, QPCT, STK26, LPCAT2, UBA2, ETFBKMT, DDR2B, FGFR3, CAMK1DA</t>
  </si>
  <si>
    <t>SEMA6BA, NRG3B, SEMA3FB, SEMA4F</t>
  </si>
  <si>
    <t>GO:0005524</t>
  </si>
  <si>
    <t>ATP binding</t>
  </si>
  <si>
    <t>GO:0004714</t>
  </si>
  <si>
    <t>transmembrane receptor protein tyrosine kinase activity</t>
  </si>
  <si>
    <t>GO:0140658</t>
  </si>
  <si>
    <t>ATP-dependent chromatin remodeler activity</t>
  </si>
  <si>
    <t>GO:0008233</t>
  </si>
  <si>
    <t>peptidase activity</t>
  </si>
  <si>
    <t>GO:0000166</t>
  </si>
  <si>
    <t>nucleotide binding</t>
  </si>
  <si>
    <t>GO:0017134</t>
  </si>
  <si>
    <t>fibroblast growth factor binding</t>
  </si>
  <si>
    <t>GO:0016787</t>
  </si>
  <si>
    <t>hydrolase activity</t>
  </si>
  <si>
    <t>GO:0005096</t>
  </si>
  <si>
    <t>GTPase activator activity</t>
  </si>
  <si>
    <t>GO:0005216</t>
  </si>
  <si>
    <t>monoatomic ion channel activity</t>
  </si>
  <si>
    <t>GO:0004713</t>
  </si>
  <si>
    <t>protein tyrosine kinase activity</t>
  </si>
  <si>
    <t>GO:0005245</t>
  </si>
  <si>
    <t>voltage-gated calcium channel activity</t>
  </si>
  <si>
    <t>GO:0005262</t>
  </si>
  <si>
    <t>calcium channel activity</t>
  </si>
  <si>
    <t>GO:0005509</t>
  </si>
  <si>
    <t>calcium ion binding</t>
  </si>
  <si>
    <t>GO:0005009</t>
  </si>
  <si>
    <t>insulin receptor activity</t>
  </si>
  <si>
    <t>GO:0043560</t>
  </si>
  <si>
    <t>insulin receptor substrate binding</t>
  </si>
  <si>
    <t>GO:0004890</t>
  </si>
  <si>
    <t>GABA-A receptor activity</t>
  </si>
  <si>
    <t>GO:0070016</t>
  </si>
  <si>
    <t>armadillo repeat domain binding</t>
  </si>
  <si>
    <t>GO:0005515</t>
  </si>
  <si>
    <t>protein binding</t>
  </si>
  <si>
    <t>GO:0030160</t>
  </si>
  <si>
    <t>synaptic receptor adaptor activity</t>
  </si>
  <si>
    <t>GO:0016301</t>
  </si>
  <si>
    <t>kinase activity</t>
  </si>
  <si>
    <t>GO:0005007</t>
  </si>
  <si>
    <t>fibroblast growth factor receptor activity</t>
  </si>
  <si>
    <t>GO:0005125</t>
  </si>
  <si>
    <t>cytokine activity</t>
  </si>
  <si>
    <t>GO:0015276</t>
  </si>
  <si>
    <t>ligand-gated monoatomic ion channel activity</t>
  </si>
  <si>
    <t>GO:0046872</t>
  </si>
  <si>
    <t>metal ion binding</t>
  </si>
  <si>
    <t>GO terms</t>
  </si>
  <si>
    <t>"GO terms",</t>
  </si>
  <si>
    <t>Biological Process</t>
  </si>
  <si>
    <t>GO:0005856</t>
  </si>
  <si>
    <t>cytoskeleton</t>
  </si>
  <si>
    <t>GO:0005737</t>
  </si>
  <si>
    <t>cytoplasm</t>
  </si>
  <si>
    <t>GO:0005813</t>
  </si>
  <si>
    <t>centrosome</t>
  </si>
  <si>
    <t>GO:0045211</t>
  </si>
  <si>
    <t>postsynaptic membrane</t>
  </si>
  <si>
    <t>GO:0005886</t>
  </si>
  <si>
    <t>plasma membrane</t>
  </si>
  <si>
    <t>GO:0009898</t>
  </si>
  <si>
    <t>cytoplasmic side of plasma membrane</t>
  </si>
  <si>
    <t>GO:1902711</t>
  </si>
  <si>
    <t>GABA-A receptor complex</t>
  </si>
  <si>
    <t>GO:0005899</t>
  </si>
  <si>
    <t>insulin receptor complex</t>
  </si>
  <si>
    <t>GO:0045334</t>
  </si>
  <si>
    <t>clathrin-coated endocytic vesicle</t>
  </si>
  <si>
    <t>GO:0098839</t>
  </si>
  <si>
    <t>postsynaptic density membrane</t>
  </si>
  <si>
    <t>GO:0009986</t>
  </si>
  <si>
    <t>cell surface</t>
  </si>
  <si>
    <t>GO:0030027</t>
  </si>
  <si>
    <t>lamellipodium</t>
  </si>
  <si>
    <t>GO:0045202</t>
  </si>
  <si>
    <t>synapse</t>
  </si>
  <si>
    <t>GO:0043235</t>
  </si>
  <si>
    <t>receptor complex</t>
  </si>
  <si>
    <t>GO:0005765</t>
  </si>
  <si>
    <t>lysosomal membrane</t>
  </si>
  <si>
    <t>GO:0005902</t>
  </si>
  <si>
    <t>microvillus</t>
  </si>
  <si>
    <t>GO:0062023</t>
  </si>
  <si>
    <t>collagen-containing extracellular matrix</t>
  </si>
  <si>
    <t>GO:0005891</t>
  </si>
  <si>
    <t>voltage-gated calcium channel complex</t>
  </si>
  <si>
    <t>GO:0036064</t>
  </si>
  <si>
    <t>ciliary basal body</t>
  </si>
  <si>
    <t>GO:0005794</t>
  </si>
  <si>
    <t>Golgi apparatus</t>
  </si>
  <si>
    <t>GO:0005814</t>
  </si>
  <si>
    <t>centriole</t>
  </si>
  <si>
    <t>Molecular Function</t>
  </si>
  <si>
    <t>Cellular Component</t>
  </si>
  <si>
    <t>GO:0007169</t>
  </si>
  <si>
    <t>cell surface receptor protein tyrosine kinase signaling pathway</t>
  </si>
  <si>
    <t>GO:0021782</t>
  </si>
  <si>
    <t>glial cell development</t>
  </si>
  <si>
    <t>GO:0060041</t>
  </si>
  <si>
    <t>retina development in camera-type eye</t>
  </si>
  <si>
    <t>GO:0006897</t>
  </si>
  <si>
    <t>endocytosis</t>
  </si>
  <si>
    <t>GO:0033674</t>
  </si>
  <si>
    <t>positive regulation of kinase activity</t>
  </si>
  <si>
    <t>GO:0048513</t>
  </si>
  <si>
    <t>animal organ development</t>
  </si>
  <si>
    <t>GO:0061371</t>
  </si>
  <si>
    <t>determination of heart left/right asymmetry</t>
  </si>
  <si>
    <t>GO:0008543</t>
  </si>
  <si>
    <t>fibroblast growth factor receptor signaling pathway</t>
  </si>
  <si>
    <t>GO:0007155</t>
  </si>
  <si>
    <t>cell adhesion</t>
  </si>
  <si>
    <t>GO:0042593</t>
  </si>
  <si>
    <t>glucose homeostasis</t>
  </si>
  <si>
    <t>GO:0048916</t>
  </si>
  <si>
    <t>posterior lateral line development</t>
  </si>
  <si>
    <t>GO:0043410</t>
  </si>
  <si>
    <t>positive regulation of MAPK cascade</t>
  </si>
  <si>
    <t>GO:0034220</t>
  </si>
  <si>
    <t>monoatomic ion transmembrane transport</t>
  </si>
  <si>
    <t>GO:0070121</t>
  </si>
  <si>
    <t>Kupffer's vesicle development</t>
  </si>
  <si>
    <t>GO:0006886</t>
  </si>
  <si>
    <t>intracellular protein transport</t>
  </si>
  <si>
    <t>GO:0042391</t>
  </si>
  <si>
    <t>regulation of membrane potential</t>
  </si>
  <si>
    <t>GO:0006915</t>
  </si>
  <si>
    <t>apoptotic process</t>
  </si>
  <si>
    <t>GO:0007275</t>
  </si>
  <si>
    <t>multicellular organism development</t>
  </si>
  <si>
    <t>GO:0006816</t>
  </si>
  <si>
    <t>calcium ion transport</t>
  </si>
  <si>
    <t>GO:0030574</t>
  </si>
  <si>
    <t>collagen catabolic process</t>
  </si>
  <si>
    <t>GO:0050877</t>
  </si>
  <si>
    <t>nervous system process</t>
  </si>
  <si>
    <t>GO:0048702</t>
  </si>
  <si>
    <t>embryonic neurocranium morphogenesis</t>
  </si>
  <si>
    <t>GO:0008284</t>
  </si>
  <si>
    <t>positive regulation of cell population proliferation</t>
  </si>
  <si>
    <t>GO:0051897</t>
  </si>
  <si>
    <t>positive regulation of phosphatidylinositol 3-kinase/protein kinase B signal transduction</t>
  </si>
  <si>
    <t>GO:0048468</t>
  </si>
  <si>
    <t>cell development</t>
  </si>
  <si>
    <t>GO:0070588</t>
  </si>
  <si>
    <t>calcium ion transmembrane transport</t>
  </si>
  <si>
    <t>GO:0018105</t>
  </si>
  <si>
    <t>peptidyl-serine phosphorylation</t>
  </si>
  <si>
    <t>GO:0006508</t>
  </si>
  <si>
    <t>proteolysis</t>
  </si>
  <si>
    <t>GO:0010569</t>
  </si>
  <si>
    <t>regulation of double-strand break repair via homologous recombination</t>
  </si>
  <si>
    <t>GO:0030901</t>
  </si>
  <si>
    <t>midbrain development</t>
  </si>
  <si>
    <t>GO:0030917</t>
  </si>
  <si>
    <t>midbrain-hindbrain boundary development</t>
  </si>
  <si>
    <t>GO:0030239</t>
  </si>
  <si>
    <t>myofibril assembly</t>
  </si>
  <si>
    <t>GABRB3, KCNG3, TTYH2, CACNA2D3A, KCNC2, GRIK5, CACNA1SA, CACNG7A, ITPR1B, PKD2L1, GRIK2, CACNG3B, KCNK3A, CACNA1EB, TRPM7, GABRR3A, GRID2, ASIC1B, KCND2, KCNJ8, KCNJ13, CACNA2D3, SCN8AA, KCNH5B, GRIN2DA, KCNH4B, GRIN2CA, GRIN2AA, CACNA1HA, KCTD10</t>
  </si>
  <si>
    <t>YAP1, NLGN1, SPON1A, TENM3, ITGB4, CTNND1, COL28A1B, CELSR3, ARVCFA, COMP, PARD3AA, FREM2B, JAM3A, KITLGA, CDH27, SI:CH211-66E2.5, CCN1, PCDH15A, CDH7A, ACANA, ZMP:0000001082, EGFL6, ITGB1A, PCDH20, ITGB3B, NRXN1A, FREM1B, ZGC:152904, CDH13, NLGN3A, NCAM1A, PKP4, SI:CH211-186J3.6, FERMT2</t>
  </si>
  <si>
    <t>SI:CH73-352P4.8, SLC7A8A, GRID2, SLC7A7, SLC38A9, SLC38A11</t>
  </si>
  <si>
    <t>PRKCG, FGFR1A, EGFL7, NRG3B, EFEMP2A, NR6A1A, VLDLR, TNS2A, NELL2A, LRP8, NELL2B, WNT2BA, PRKD4, PRKD3, WNT7BA, ARHGAP29B, LRP1AA</t>
  </si>
  <si>
    <t>ITGB1A, LAMB2, MMP2, CAD, PER1B, VAX1, CDC42, ATOH7, PAX2A, RPGRB, MMP28, RBP4L, PDE6B, EXOC5, CADM2B</t>
  </si>
  <si>
    <t>LETM1, CACNA1HA, CACNA2D3A, CACNA1SA, CACNA1EB, CACNA2D3, ITPR1B, CACNG7A, TRPM7, PKD2L1, MICU1, CACNG3B</t>
  </si>
  <si>
    <t>OFD1, RPGRB, CCDC39, CEP70, RFX3</t>
  </si>
  <si>
    <t>GABRB3, MRS2, KCNG3, TRPC6A, TTYH2, CACNA2D3A, KCNC2, GRIK5, CACNB3A, CACNA1SA, CACNG7A, ITPR1B, SLC38A11, PKD2L1, GRIK2, CACNG3B, KCNK3A, SLC39A9, CACNA1EB, KCNQ5A, SLC4A1A, TRPM7, GABRR3A, SLC12A4, GRID2, ASIC1B, KCND2, KCNJ8, KCNJ13, CACNA2D3, SLC4A11, SCN8AA, KCNH5B, GRIN2DA, KCNH4B, LETM1, GRIN2CA, CLCN6, GRIN2AA, CACNA1HA, KCTD10, MICU1</t>
  </si>
  <si>
    <t>CACNA1HA, TRPC6A, CACNA2D3A, CACNA1SA, CACNB3A, CACNA1EB, CACNA2D3, ITPR1B, CACNG7A, TRPM7, PKD2L1, CACNG3B</t>
  </si>
  <si>
    <t>YAP1, MEIS1B, AP1G2, GSPT1L, LGALS2A, NDUFB11, PDCD10B, AGAP2, NTN1A, BMPR2B</t>
  </si>
  <si>
    <t>OTOL1B, COL8A1A, FKRP, MMP2, MMP16A, COL19A1, CCDC80, COL4A1, ADAMTS18, COL4A4, GFOD2, MMP28, ABI3BPB, COL4A5</t>
  </si>
  <si>
    <t>PAX2A, OTX2B, KDM7AB, TCF7L1B, FGF22, CSRNP1B</t>
  </si>
  <si>
    <t>VPS26BL, ARL6, STX8, STXBP1A, USO1, ASPSCR1, RAB38B, VPS26A, SYTL5, AP4B1, GGA1, IPO8, AP1G2, VPS41, RAB24, ARF4A, SRPRB, CLTCB, RIMS2A, SEC24C, TMED5</t>
  </si>
  <si>
    <t>CDH7A, CTNND1, CDH13, PKP1, PKP4, CDH27, SI:CH211-186J3.6, ARVCFA</t>
  </si>
  <si>
    <t>PAX2A, NIN, OTX2B, NR6A1A, RNF152, FGF22</t>
  </si>
  <si>
    <t>PCDH15A, EPS15L1A, USP20, MYO1HA, VLDLR, LRP8, CDC42, ZGC:100846, TFR1A, EEA1, MYO1B, RABEP1, HEATR5B, LRP1AA</t>
  </si>
  <si>
    <t>MEIS1B, FGFR1A, TSC22D1, PDGFD, GHRH, KITLGA, TCF7L1B, ERBB3B, FGFR3, S100A10B, FGF22</t>
  </si>
  <si>
    <t>DAGLA, PNPLA8, ALOX12, SI:DKEY-17E16.9</t>
  </si>
  <si>
    <t>BECN1, DHRSX, DEPDC5, RNF152</t>
  </si>
  <si>
    <t>DAGLA, PRKAB1B, PLA2G1B, CPT1AB, LCAT, ALOX12, ACACB, AGPAT2, AGPAT3, CEPT1B, NEU4, GDPD4A, PSAP, PLCE1, SPTSSB, DECR2, ACAD11, ACAD8, PNPLA8, ACSL1A, SREBF2, GPAM, LPCAT4, CERS2A, LPCAT2, PNPLA3, ANGPTL3, DPEP1, ST6GALNAC4, ACSBG2, ST6GALNAC6</t>
  </si>
  <si>
    <t>KCNH3, SLC12A4, KCNG3, KCND2, KCNJ8, KCNC2, KCNJ13, ABCC9, KCNH5B, LETM1, KCNH4B, KCNK3A, KCNQ5A</t>
  </si>
  <si>
    <t>PRKCG, LATS2, MKNK1, TLK2, ULK3, PKN1A, VRK1, CSNK2A2B, TTBK2B, TTBK2A, CAMK1DA</t>
  </si>
  <si>
    <t>SETD5, BECN1, MAP3K3, IGF1RA, MICAL2B, NKX2.7, NDUFB11, PDCD10B, PDLIM5A, CCM2L, AGAP2, BRK1, TCF7L1B, ZFPM2A, HSPB12, TBCK, KCTD10, TTN.2, PAF1, RTTN, SAP130A</t>
  </si>
  <si>
    <t>SETD5, NKX2.9, TEAD3A, NKX2.7, KDM1A, ZMYND8, PRDM5, RSF1B.1, FOXM1, PAX2A, DBX1A, FOXJ1A, PKNOX2, NKX3-1, MEIS1B, PRMT5, OTX2B, GATAD2AB, FOXH1, SEBOX, RFX3, BRD3A, HER4.2, RUNX1, SMAD4A, MTF2, PAX9, TERF2IP, NKX2.1, PPARG, HOXC1A, POU2F1B, KMT2E, ESR2B, SUPT4H1, NR6A1A, AHRRB, ATOH7, NR2F6B, GATA1B, E2F5, FOXG1B, MTA3, DRGX, POU2F2A, ATF7IP, MLLT1A, FOSL1A, TAF15, ZFHX2, POU6F2, SUB1A, SMAD9, HELZ, FOXN4, VAX1, ALX4A, SMARCA2, NFATC3A, LHX3, SAP130A, RORCB, HOXC3A</t>
  </si>
  <si>
    <t>PFKLA, GPIB, HKDC1, INSRB, GAPDH, DHTKD1</t>
  </si>
  <si>
    <t>PCDH15A, ZMP:0000001082, CDH7A, ITGB1A, ITGB4, CTNND1, ARVCFA, CNTN3B, JAM3A, CDH13, PKP1, NCAM1A, PKP4, ESAMB, CDH27, SI:CH211-186J3.6</t>
  </si>
  <si>
    <t>MIOS, DAP1B, DEPDC5, RNF152</t>
  </si>
  <si>
    <t>EGFL6, MECOM, ARL6, CAD, SREBF2</t>
  </si>
  <si>
    <t>PTBP1B, SF3B5, RBFOX2, CPSF6, BUD31, DDX23, SSU72, ELAVL4, CELF3A, JMJD6, ERN2, RBM25B, RBFOX3A, ESRP2, ARL6IP4, CMTR2</t>
  </si>
  <si>
    <t>USP37, PSMD12, CFDP1, USP20, ESRP2, MYO1HA, NOLC1, ITPR1B, B4GALT7</t>
  </si>
  <si>
    <t>EPHA6, LAMB2, EPHA8, SLIT1A, LRTM1, SEMA4F, KIF5AA, SEMA6BA, CNTN3B, SEMA3FB, CNTN3A.2, TRIOB, SLIT3, TRIOA, SDK2B, EFNA5A, PLXNB1B</t>
  </si>
  <si>
    <t>TRIM71, MEIS1B, USP37, LATS2, CDK4</t>
  </si>
  <si>
    <t>RCL1, YAP1, SUPV3L1, FGFR1A, JAG2B, SAMM50, CNR2, PNPLA3, ANGPTL3, SREBF2, GRNA</t>
  </si>
  <si>
    <t>KCNG3, AQP8A.2, SI:CH73-352P4.8, TRPC6A, ZGC:165507, KCNC2, SLC44A2, CACNA1SA, WU:FB13G09, SLC5A11, ITPR1B, SLC39A9, CACNA1EB, KCNQ5A, FLVCR1, SLC4A1A, TRPM7, ABCA1B, SLC37A3, SLC16A9A, ABCA4B, SLC12A4, SLC7A8A, KCND2, SLC4A11, ABCC9, SLC2A9L1, SCN8AA, KCNH5B, SLC16A13, KCNH4B, CLCN6, SLC7A7, CACNA1HA, AQP11, AQP1A.1</t>
  </si>
  <si>
    <t>CDC42, PAX2A, NGFRB, PSMD12, NPHP3, EXOC5</t>
  </si>
  <si>
    <t>FGFR1A, IGF1RA, SAMD10B, EPHA6, ANGPT1, EPHA8, INSRB, ERBB3B, SAMD12, DDR2B, FGFR3</t>
  </si>
  <si>
    <t>YAP1, BMP10, LATS2, SCUBE1, SMAD4A, SMAD9, BMPR2B</t>
  </si>
  <si>
    <t>ZGC:100846, SLIT3, NTN1A, NTN1B</t>
  </si>
  <si>
    <t>EHMT1B, KDM1A, GATAD2AB, ZBTB38, FOXH1, PER1B, ZBTB34, CHD3, ZFPM2A, CBX7A, NR2F6B, SKILA, MIER2, PAF1, GATA1B, SAP130A, CHD4B, MTA3, LYAR, ZNF740A</t>
  </si>
  <si>
    <t>ADGRG1, PPM1LA, TERF2IP, PPM1BB, IKBKG, PPM1BA, GAPDH, S100A10B</t>
  </si>
  <si>
    <t>PLK4, YAP1, PCDH15A, RSPH4A, TEAD3A, ARL6, TTBK2B, WDR35, TTBK2A, CCDC28B, SAV1, CDC42, PAX2A, RPGRB, RABEP1, CEP70, NPHP3, TOGARAM1, EXOC5, FOXJ1A</t>
  </si>
  <si>
    <t>TBCK, SGSM3, TIAM1B, AGAP2, AGAP3, ARHGAP29B, TBC1D16</t>
  </si>
  <si>
    <t>CDC42, FMNL3, NLGN1, SCUBE1, LGALS2A, KCTD10, INSRB, CDH13, NRXN1A, JMJD6, BMPR2B</t>
  </si>
  <si>
    <t>FGFR1A, SYNPO2LA, TTN.2, SMAD4A</t>
  </si>
  <si>
    <t>TRIM71, FGFR1A, CHURC1, LCT, FGFR3, FGF22</t>
  </si>
  <si>
    <t>FH, SDHAF2, SUCLG2, SDHB, DHTKD1</t>
  </si>
  <si>
    <t>SI:DKEY-196H17.9, EXOC3L4, TNFAIP2B</t>
  </si>
  <si>
    <t>ATOH7, RPS15A, SI:DKEY-27I16.2, CABLES2B, RPL23A, SI:CH1073-459B3.2, WDR12, BIRC2, RPL7</t>
  </si>
  <si>
    <t>YAP1, LATS2, TEAD3A, SAV1</t>
  </si>
  <si>
    <t>MYO1B, MYO5AA, MYO5C, MYO1HA</t>
  </si>
  <si>
    <t>GRIN2CA, GRIN2AA, GRID2, GRIK5, GRIK2, GRIN2DA</t>
  </si>
  <si>
    <t>PPP1R37, CARMIL3, SI:DKEY-288A3.2</t>
  </si>
  <si>
    <t>GABBR2, GABRG3, CELSR3, GABBR1B</t>
  </si>
  <si>
    <t>IGF1RA, NKX2.7, PDCD10B, CCM2L, SEBOX, ALPK2, TSPY</t>
  </si>
  <si>
    <t>NPHP3, NTN1A, FOXJ1A, NKD1, BMPR2B</t>
  </si>
  <si>
    <t>PPP1R37, CARMIL3, ITGB1A, ITGB4, LAMB2, ITGB3B, NR6A1A, PIK3CD, FMNL3, PIK3CA, JAM3A, CDH13, SI:DKEY-288A3.2, FERMT2</t>
  </si>
  <si>
    <t>YAP1, NKX2.7, SEBOX, ILDR2</t>
  </si>
  <si>
    <t>UBTF, POLR2F, POLR2L</t>
  </si>
  <si>
    <t>PPM1BB, PPM1DB, PPM1BA</t>
  </si>
  <si>
    <t>VPS26BL, PGAP1, EXOC7, ARRDC2, STXBP1A, NMD3, VPS26A, AP5B1, AP4B1, YIF1A, CADPSA, TOM1L2, GGA1, JAGN1A, RABEP1, AP5M1, AP1G2, XPO4, NACA, VPS41, CHCHD4A, ARF4A, SEC24C, TMED5</t>
  </si>
  <si>
    <t>PRMT5, NDUFAF7</t>
  </si>
  <si>
    <t>EGFL6, ITGB1A</t>
  </si>
  <si>
    <t>ATOH7, ZGC:100846, KLC2, DAGLA, TFG, CA10A, DEPDC5, GRNA</t>
  </si>
  <si>
    <t>YAP1, CARMIL3, TEAD3A, ARL6, NPHP3, NPHP4, FOXJ1A, NKD1</t>
  </si>
  <si>
    <t>GABRB3, KCNH4B, KCNH3, RIMS2A, GABRR3A, KCNH5B</t>
  </si>
  <si>
    <t>FMNL3, ITGB4, DAAM2</t>
  </si>
  <si>
    <t>INO80E, CFDP1, KDM4C, KDM1A, BRD3A, CHD3, ZGC:162255, CHD4B, HDGFL2</t>
  </si>
  <si>
    <t>KCNH3, KCNG3, CACNA2D3A, KCND2, KCNJ8, KCNC2, KCNJ13, CACNA1SA, CACNA2D3, CACNG7A, SCN8AA, CACNG3B, KCNH5B, KCNH4B, CACNA1HA, CACNA1EB</t>
  </si>
  <si>
    <t>COL8A1A, SPON1A, BMP10, SLIT1A, EFEMP2A, PENKA, HTRA1A, NTN1A, NTN1B, NELL2A, C4B, COMP, RPGRB, WNT2BA, KITLGA, FMODB, TNXBA, ENPP1, AMH, CCN1, NOTUM2, FOXJ1A, OFD1, OTOL1B, CCDC39, EGFL7, PLA2G12B, MMP2, RFX3, KERA, IL16, EMILIN2A, IGFBP5B, UCMAB, IGFBP1A, CCDC80, COL4A1, COL4A4, GFOD2, VWA1, COL4A5, DNASE1, NRG3B, PLA2G1B, HTRA3B, STC1, COL28A1B, SCUBE1, DHRSX, ADCYAP1A, ADAMTS18, C9, PDGFD, PSAP, CEP70, SLIT3, WNT7BA, ACANA, AHSG2, LUM, TGFB3, LGI3, ADMA, FIBINA, QPCT, GHRH, GNRH2, IL17C, ZGC:162941, GRNA</t>
  </si>
  <si>
    <t>BECN1, FGFR1A, LEPROT, PDCD10B, EXT1C, UBA5, USO1, SYAP1, ICA1, GALNT18B, TMBIM1A, GRB2B, RAB38B, ZGC:77880, GGA1, NUCB2B, CEPT1B, AP1G2, SLC39A9, GLCEB, RAB24, ZGC:162255, RAB11FIP3, TMED5, NDFIP2, FKRP, TMEM30B, TMEM30C, ICAL1, FIBINA, DUSP26, YIF1A, SREBF2, PREPL, HEATR5B, STK26, VPS41, LPCAT2, ARF4A, SRPRB, FAM20CB, FAM20CA, B4GALT7, ST6GALNAC4, SLC29A3, ST6GALNAC6</t>
  </si>
  <si>
    <t>ZGC:165507, PRKAB1B, ZMYND8, ANXA11B, HTRA1A, ADARB2, RPL7, ITPKCB, GNAT1, ACAD11, PRKCG, RBFOX2, MYH9B, ARRDC2, DLEC1, SI:CH211-125O16.4, SND1, JMJD6, RNF123, PRKD3, ARF4A, ULK3, SERBP1B, TRIM16, UBA52, IDO1, PNP6, ITPK1B, FLII, PTPN4A, NR6A1A, NEDD4L, VPS26A, XPC, NMD3, SI:CH1073-184J22.2, SKA3, SI:CH211-204C21.1, USP12A, ARVCFA, NEU4, CEP70, SNRKB, TRIOB, SI:DKEY-17E16.9, TRIOA, ZGC:162255, RAB11FIP3, SPTBN1, PLK4, MYO5AA, GPR12, SUCO, PPIP5K1A, ZGC:194990, ICN, MYO5C, RANBP10, FARSA, FERMT2, ARHGAP29B, GPHNB, ARHGAP17B, MCF2LA, MOCS3, CCDC88AB, PDZRN3B, OLA1, ICA1, HECW2A, RGS7A, HSPB12, CELF3A, RPTOR, MSI2B, THTPA, SKILA, KIF19, PNP4A, XPO4, SH3PXD2B, ARIH2, IP6K2A, IKBKG, ARHGEF18B, SI:CH73-54F23.4, LRRCC1, OFD1, PRMT5, TSC22D1, MIOS, STRBP, GAB1, PAWR, IL16, SEC14L8, KIF23, WDR35, CYP2Y3, ACTR2B, INCENP, SMAD4A, PITPNM2, CNKSR3, PPARG, EXOC5, ACSBG2, YAP1, EPS15L1A, OBSCNA, FH, USO1, TTBK2B, TTBK2A, NKD1, ECPAS, RPS15A, SRP72, TTN.2, SPOP, MAP3K3, RSPH4A, ZGC:173581, YTHDF3, KLHL3, FTH1B, SMCR8A, PNPLA3, ETFBKMT, PRC1B, ANKRD13B, SYNE2B, GHDC, SYAP1, CTNND1, NTN1A, NTN1B, NELL2A, NELL2B, ALDH1L2, RPGRB, ZUFSP, GRB14, SLC39A9, MAP3K9, SBF2, CMTR2, PPP1R16B, NANOS1, CAST, PPP1R16A, SSU72, VRK1, IGFBP1A, CRTC1A, ACAP1, SI:CH211-253B8.5, PLEKHA1B, ANK2B, PKP1, ANAPC5, PKP4, CAMSAP2A, TRIM46A, HDGFL2, RGS12B, FGFR1A, PSMD12, KLHL14, ARL6, PDCD10B, UBA5, CACNB3A, ARHGAP19, GRB2B, ALOX12, KIF5AA, EIF3EB, GLCCI1A, KLC2, BAG3, UBR7, EIF4EBP1, SRGAP3, SULT5A1, FGF22, S100A10B, EIF2B4, CPSF6, VPS26BL, STXBP1A, ARPP19B, ASPSCR1, SMAD9, PER1B, TBCK, NFATC3A, RBFOX3A, CDK4, NACA, STK26, UBA2, LSM14B, DAGLA, ELAVL4, MYO1HA, PIK3CD, BRK1, LRMP, DPYSL2B, BTR07, DUSP10, USP2A, KITLGA, TLK2, HYDIN, ANXA3B, CCDC39, BCAS3, APAF1, DST, VBP1, CAD, PKN1A, DARS2, ARAP3, ZMP:0000001167, DUSP26, TSN, SI:CH211-232H12.2, RABEP1, PIK3CA, SB:CB1081, TERF2IP, GAPDH, BIRC2, BECN1, MICAL2B, PFKLA, TPMT.1, PPM1H, PPM1BB, RRAGCA, PPM1BA, AHRRB, MROH1, SSUH2RS1, PABPN1, CNR2, CCDC85B, MKNK1, ANK1B, S1PR4, PPP1R14C, USP20, ADARB1B, CDC42EP4B, FMNL3, S100W, MYO1B, MCM3AP, NIN, IMPDH2, VPS41, AQP11, PVALB8, SI:CH211-51C14.1, WASF3B, SMAP1, PVALB4, CAMK1DA</t>
  </si>
  <si>
    <t>SI:DKEY-196H17.9, EXOC3L4, EXOC7, EXOC5, TNFAIP2B</t>
  </si>
  <si>
    <t>PGAP1, EXT1C, BNIP3LB, TMBIM1A, ITPR1B, LRMP, DIPK1AA, CYP1B1, MAN1A1, TMED5, RDH10A, SSR3, ACSL1A, P3H1, CDKAL1, ATP11A, SREBF2, LMBRD1, PIGM, PROM1A, ACSBG2, ESYT1A, BECN1, KLHL14, RPN2, USO1, TMTC1, SLC38A11, AGPAT2, AGPAT3, ZGC:77880, ERLEC1, CEPT1B, NEU4, INPP5F, SRP72, EMC4, SPTSSB, NDFIP2, ICMT, TMEM30B, TMEM30C, FIBINA, YIF1A, SI:CH211-282J22.3, TMEM199, VMP1, JAGN1A, LPCAT4, CERS2A, LPCAT2, TMEM39B, CLPTM1L, CALR</t>
  </si>
  <si>
    <t>OTOL1B, COL8A1A, SI:CH211-106N13.3, SRPX, ANGPT1, LGALS2A, HTRA1A, COL19A1, COMP, FREM1B, FREM2B, COL4A4, ANGPTL3, ABI3BPB, VWA1, TNXBA, CSPG4, ANGPTL5, MATN3B</t>
  </si>
  <si>
    <t>SYNE2B, ARL6, FLII, PTPN4A, EPB41A, BRK1, LRMP, SKA3, KIF5AA, SI:DKEYP-38G8.5, KIF19, KLC2, CCDC85B, ANK1B, KITLGA, CEP70, TLK2, NPHP4, RAB11FIP3, SPTBN1, PLK4, OFD1, CCDC39, RSPH4A, DST, USP20, TMOD4, WU:FI46H04, KRT99, KIF23, KLHL3, ZGC:172136, WDR35, CDC42EP4B, SI:CH211-232H12.2, PREPL, ACTR2B, NIN, INCENP, ANK2B, ANAPC5, CAMSAP2A, WASF3B, TRIM46A, GAPDH, FERMT2</t>
  </si>
  <si>
    <t>GATAD2AB, CHD3, CHD4B, MTA3</t>
  </si>
  <si>
    <t>LMBRD1, INPP5F, CLTCB</t>
  </si>
  <si>
    <t>CACNA1HA, CACNA2D3A, CACNA1SA, CACNB3A, CACNA1EB, CACNA2D3</t>
  </si>
  <si>
    <t>ATOH7, KCND2, ADCYAP1A, DIP2BA, GHRH, ELAVL4</t>
  </si>
  <si>
    <t>GABRB3, GRID2, SHANK2B, DAGLA, KCND2, KCNC2, GRIK5, GRIK2, GABRG3, GRIN2DA, GRIN2CA, GRIN2AA, GABRR3A, GPHNB, SHANK1</t>
  </si>
  <si>
    <t>GRIN2CA, GRIN2AA, GRID2, GRIK5, CACNG7A, GRIK2, CACNG3B, GRIN2DA</t>
  </si>
  <si>
    <t>PLK4, NOP58, ADARB1B, OLA1, NOLC1, ADARB2, WDR12, JMJD6, RCL1, SENP3B, RSL1D1, SENP5, RPS15A, PDCD11, ARL6IP4, FAM32A, ZGC:162255, LYAR, RSL24D1</t>
  </si>
  <si>
    <t>PIP4P1B, MIOS, GAA, HPS4, AP5B1, SPPL2, CLCN6, LMBRD1, VPS41, SLC38A9, DEPDC5, RNF152, ZGC:123258, SLC37A3</t>
  </si>
  <si>
    <t>CDH7A, PDLIM5A, CTNND1, ARVCFA, PARD3AA, CCDC85B, MPP7A, CDH13, PKP1, PKP4, ESAMB, CDH27, SI:CH211-186J3.6</t>
  </si>
  <si>
    <t>CCDC80, COL4A1, COL4A4, VWA1, COL4A5, NTN1A, NTN1B</t>
  </si>
  <si>
    <t>MCF2LA, VPS13A, TRIOB, TRIOA</t>
  </si>
  <si>
    <t>PLK4, OFD1, AKNA, USP20, CCDC88AB, SSNA1, FLII, CEP152, LRMP, WDR35, SI:CH211-232H12.2, CCDC28B, TBCK, NIN, CCDC85B, CEP70, RTTN, RAB11FIP3, LRRCC1</t>
  </si>
  <si>
    <t>PIP4P1B, BECN1, LEPROT, ZGC:92045, VPS26BL, GRB2B, VPS26A, SPPL2, ZGC:100846, TOM1L2, ACAP1, RABEP1, INPP5F, VPS41, RAB24, SI:CH211-51C14.1, CCR7, SLC38A9, LDLRAD4B, RAB11FIP3, ASTN1</t>
  </si>
  <si>
    <t>ZGC:165507, ANXA11B, PKD2L1, FZD10, GPR173, LIMA1A, SI:CH1073-459B3.2, CPNE2, SI:CH73-61D6.3, LRP1AA, EPHA6, UNC5B, WU:FI46H04, EPHA8, ARRDC2, TIAM1B, SYTL5, ARF4A, ALPK2, PPP1R37, ESYT1A, TTYH2, DLG5A, SI:CH211-204C21.1, USP12A, ARVCFA, INSRB, TRPM7, TRIOA, ZGC:162255, ANO10B, PAG1, PLXNB1B, SPTBN1, ASIC1B, CARMIL3, GPR12, PCDH20, MCHR1B, SLC2A9L1, PPIP5K1A, VANGL1, JAG2B, NCAM1A, VSTM4A, DDR2B, EFNA5A, FERMT2, ADRA1BA, GPHNB, GABRB3, RASGRF2A, TRPC6A, TENM3, SLC44A2, GRIK5, PENKA, VLDLR, GRIK2, RGS7A, TFR1A, ARHGEF18B, IGF1RA, ITGB1A, KCND2, EXOC7, EMP1, SEC14L8, ITFG1, ANO3, PARAPINOPSINA, PROM1A, ERBB3B, SLC29A3, PIP4P1B, EPS15L1A, OBSCNA, NKD1, ADCY3A, GALR1A, REM1, TTN.2, MPP7A, JAM3A, GFRA1B, PTCHD4, RASGEF1BA, GABBR2, CDH7A, LHFPL3, SCN8AA, KCNH5B, KCNH4B, VMP1, NGFRB, CACNA1HA, GPAM, JAM2B, LPCAT2, RAB9A, SI:CH211-186J3.6, ANKRD13B, CTNND1, BEST2, CELSR3, ORA4, GRB14, SLC39A9, ADCY2B, KCNH3, MIGA2, SI:DKEY-96N2.3, GPR75, ATP11A, SDHB, GRIN2DA, GRIN2CA, MFSD12A, CD8A, TAAR19M, NLGN3A, PKP1, DPEP1, RELL1, PKP4, RGS12B, FGFR1A, ARL6, PDCD10B, EPB41A, ACTN3B, GRB2B, SLC1A4, SLC1A5, ADGRG1, SCUBE1, SDK2B, CDH27, SLC16A9A, STXBP1A, ITGB3B, SLC4A11, OPN9, SLC6A11B, SEMA6BA, GRIN2AA, TMEM117, NMUR3, HHLA2B.1, FGFR3, SI:DKEY-288A3.2, AQP8A.2, ITGB4, SLIT1A, MYO1HA, PIK3CD, PLP1A, SPRED2A, KCNK3A, CNTN3B, KITLGA, CNTN3A.2, SLC4A1A, ANXA3B, BMPR2B, PCDH15A, GRID2, OPN4A, DST, ABCC9, MTNR1BB, GABBR1B, LMBRD1, PIK3CA, SEMA3FB, CDH13, NLGN1, TACR1A, SLC5A11, CBL, LRP8, AGPAT2, ENOX2, CDC42, CNR2, ANK1B, ESAMB, GABRR3A, NRN1LA, S1PR4, OPCML, ACANA, SLC12A4, TMEM30B, KCNJ8, TMEM30C, KCNJ13, SEMA4F, CDC42EP4B, FMNL3, MYO1B, SI:CH211-51C14.1, CADM2B, GRNA</t>
  </si>
  <si>
    <t>PANK4, USP37, MOCS3, HTRA1A, IDE, PPM1DB, OPLAH, DPYSL2B, DHTKD1, PSME4A, IPO8, DUSP10, ARHGEF10LB, CDK5RAP1, NUDT14, PGM1, MEIS1B, PRMT5, DDX59, TSC22D1, EXOC7, PGGHG, CAD, TIAM1B, AMPD1, LARP4B, SND1, PRKD4, PRKD3, HEATR5B, HKDC1, PTRH2, ULK3, PDXKB, GAPDH, FGFR1A, FH, UBA5, HPCA, VPS26A, ALOX12, PPM1BB, USP12A, USP12B, PPM1BA, SAV1, AP5M1, BAG3, METTL4, PDE4BB, EIF2B4, GPIB, VPS26BL, STXBP1A, PLEKHA5, HELZ, CSNK2A2B, KLHL3, GNMT, PPIP5K1A, FMNL3, SI:DKEY-19E4.5, GPX1A, IMPDH2, VPS41, PPM1LA, RAB9A, ETFBKMT, ATXN10, FARSA, SEC24C, EFCC1, GPHNB, ARHGAP17B</t>
  </si>
  <si>
    <t>YAP1, AKIRIN1, EHMT1B, KDM4C, ESCO1, ESR2B, FOXH1, HIST2H2L, NR6A1A, TCF7L1B, BRD3A, LRMP, CHD3, TSPY, CHD4B</t>
  </si>
  <si>
    <t>PANK4, NKX2.9, RPL3, NKX2.7, PRKAB1B, ZMYND8, HIST2H2L, GPATCH2, ANXA11B, THYN1, TSHZ3B, RSF1B.1, PPM1DB, ITPKCB, GTF3AB, ARL6IP4, PKNOX2, RBFOX2, OTX2B, ESCO1, FOXH1, RFX3, SI:CH211-125O16.4, SND1, MED6, JMJD6, RUNX1, SI:DKEY-109J17.5, CFDP1, SERBP1B, NKX2.1, UBA52, PTBP1B, RTEL1, FLII, SUPT4H1, NR6A1A, AGAP2, NOLC1, BAZ2A, XPC, NMD3, AGAP3, USP12A, USP12B, ARVCFA, NR2F6B, CHTF8, PDCD11, ZNF704, MIER2, FOXG1B, LYAR, MLLT1A, PLK4, SI:DKEY-210J14.3, POU6F2, WU:FC17B08, SMARCA2, THAP11, CMASA, CDAN1, DDX3XB, PARP12A, PAF1, SAP130A, ANP32B, RORCB, FERMT2, TEAD3A, OLA1, HSPB12, CELF3A, SENP3B, SYNPO2LA, SKILA, ING2, XPO4, MECOM, DBX1A, REV3L, IP6K2A, IKBKG, CHD4B, OFD1, PRMT5, TSC22D1, GATAD2AB, TOP3A, SEBOX, IL16, BRD3A, KIF23, SREBF2, SCAF4A, ACTR2B, INCENP, SMAD4A, MTF2, PAX9, DMC1, FAM32A, PPARG, HOXC1A, SI:DKEY-261M9.17, YAP1, SF3B5, FH, SI:DKEY-119F1.1, TTBK2B, TTBK2A, ECPAS, CEPT1B, RPS15A, TTN.2, METTL4, SPOP, CSRNP1B, PURG, SLF1, EHMT1B, SUB1A, SI:CH73-181D5.4, SMCR8A, VAX1, WDR12, WDR13, TSPY, PPM1LA, NCAPD2, NCAPD3, SI:RP71-1D10.8, SYNE2B, KDM1A, SYAP1, CTNND1, PRDM5, BNIP3LB, TATDN3, ZUFSP, SLC39A9, SI:CH211-202H22.8, CMTR2, FOXJ1A, MEIS1B, RAD21L1, ZBTB38, SSU72, HER4.5, VRK1, CDYL, HER4.2, CRTC1A, MSH3, PKP1, ANAPC5, PKP4, HDGFL2, POU2F1B, RGS12B, FGFR1A, INO80E, UBA5, ESR2B, ZGC:173552, EPB41A, ALOX12, CBX7A, EIF3EB, SETDB1B, BAG3, S100A10B, POU2F2A, FOSL1A, PDE4BB, AKIRIN1, ZFHX2, CPSF6, TDG.1, ASPSCR1, SMAD9, PER1B, HELZ, FOXN4, CSNK2A2B, ALX4A, COQ7, RCL1, TBCK, NFATC3A, RBFOX3A, LHX3, CDK4, NACA, RFXAP, TAF4A, UBA2, TMEM18, RSL24D1, SP9, HOXC3A, USP37, CHD9, LRMP, ZC3H6, CHD3, FOXM1, PAX2A, PSME4A, SENP5, UBE2Q2, TLK2, UBTF, SI:CH211-281P14.2, ANXA3B, NKX3-1, BUD31, PKN1A, ZFPM2A, DUSP26, TSN, SMC1B, SUPV3L1, LATS2, ESRP2, TERF2IP, LCOR, BIRC6, DNASE1, GAPDH, BIRC2, ZNF740A, MICAL2B, NUFIP1, POLDIP2, ZBTB49, PPM1H, TCF7L1B, PPM1BB, RRAGCA, PPM1BA, AHRRB, ATAD2B, SSUH2RS1, ATOH7, SI:CH73-109D9.3, TMEM201, PABPN1, CCDC85B, SI:CH73-109D9.2, MKNK1, POLR2F, KDM7AB, GATA1B, E2F5, MTA3, DRGX, SMARCE1, ATF7IP, NOP58, TAF15, KDM4C, FIBPA, SMUG1, SI:CH211-244B2.3, MCM3AP, PSMC1B, CERS2A, IMPDH2, TAF5</t>
  </si>
  <si>
    <t>NLGN1, NLGN3A, GPHNB</t>
  </si>
  <si>
    <t>NPHP3, ANKRD28B, ASB16</t>
  </si>
  <si>
    <t>NCAPD2, NCAPD3</t>
  </si>
  <si>
    <t>KMT2E, SETD5</t>
  </si>
  <si>
    <t>SAMD10B, GM2A, PTPN4A, SAMD12</t>
  </si>
  <si>
    <t>PIP4P1B, DRAM2B, MIOS, GAA, RAB38B, RRAGCA, NEU4, LMBRD1, CTSO, AP5M1, VPS41, PSAP, RAB9A, SLC38A9, RNF152, CTSC</t>
  </si>
  <si>
    <t>CACNA1SA, SLIT1A, EFEMP2A, ANXA11B, PKD2L1, VLDLR, NELL2A, NELL2B, CELSR3, COMP, EFHD1, MAN1A1, ANXA3B, LRP1AA, PCDH15A, EGFL7, PLA2G12B, EGFL6, DST, CDH13, MICU1, ESYT1A, EPS15L1A, CALM1A, PLA2G1B, HPCA, ACTN3B, ALOX12, ZGC:153867, CBL, LRP8, NKD1, NUCB2B, SCUBE1, FREM2B, SLIT3, CDH27, RAB11FIP3, S100A10B, CDH7A, ACANA, PCDH20, SI:CH211-282J22.3, LETM1, JAG2B, S100W, NIN, ICN, LPCAT4, LPCAT2, PVALB8, CALR, SI:CH211-186J3.6, PVALB4, EFCC1, MCTP1A</t>
  </si>
  <si>
    <t>PANK4, CKMT2B, RAB38B, LONP1, GNAT1, MAP3K9, ABCA1B, ADCY2B, PRKCG, MYH9A, MYH9B, EPHA6, EPHA8, VRK1, ATP11A, GTPBP1, ERN2, EIF4A1B, RAB36, PRKD4, PRKD3, MSH3, ARF4A, ULK3, SUCLG2, FAM20CB, FAM20CA, ARL9, ITPK1B, FGFR1A, RTEL1, ARL6, UBA5, WU:FB13G09, AGAP2, AGAP3, KIF5AA, ACACB, ADGRG1, INSRB, SNRKB, TRIOB, DHX38, TRPM7, TRIOA, PLK4, ZRANB3, MYO5AA, HELZ, CSNK2A2B, SMARCA2, PPIP5K1A, CDK4, DDX3XB, STK26, MYO5C, SRPRB, UBA2, FARSA, FGFR3, GFM1, MOCS3, CHD9, MYO1HA, OLA1, PIK3CD, CHD3, KIF19, REV3L, TLK2, PRKG2, CHD4B, BMPR2B, ABCA4B, DDX59, IGF1RA, APAF1, CAD, DARS2, ACSL1A, PKN1A, ABCC9, KIF23, SUPV3L1, ACTR2B, LATS2, NME6, PIK3CA, HKDC1, GFOD2, DMC1, ERBB3B, OBSCNA, PFKLA, SI:DKEY-119F1.1, DDX23, RRAGCA, TTBK2B, TTBK2A, ADCY3A, CDC42, REM1, SPEGB, MKNK1, RAB24, MAP3K3, ATAD3, MYO1B, PSMC1B, GSPT1L, IMPDH2, RAB9A, CAMK1DA</t>
  </si>
  <si>
    <t>GABRB3, KCNG3, GRID2, TRPC6A, KCND2, KCNC2, GRIK5, CACNA1SA, ITPR1B, GRIK2, SCN8AA, KCNH5B, GRIN2DA, KCNH4B, GRIN2CA, GRIN2AA, CACNA1HA, KCNQ5A, CACNA1EB, TRPM7, GABRR3A</t>
  </si>
  <si>
    <t>RASGRF2A, OBSCNA, DENND2C, MCF2LA, PLEKHG7, TIAM1B, HPS4, QUO, RAB3IL1, SMCR8A, ZGC:100846, DOCK11, SI:DKEY-65J6.2, ARHGEF10LB, TRIOB, ARHGEF4, PLCE1, SLC38A9, TRIOA, ARHGEF18B, SI:DKEY-82F1.1, SBF2, RASGEF1BA</t>
  </si>
  <si>
    <t>USP37, PGAP1, CHD9, OLA1, HTRA1A, CHD3, IDE, PPM1DB, OPLAH, SPPL2, DPYSL2B, SENP3B, THTPA, TATDN3, IMMP2L, SENP5, DUSP10, USP2A, SENP8, MMP28, LONP1, ENPP1, PLCE1, MAN1A1, CHD4B, NOTUM2, CTSC, DDX59, APAF1, MMP2, GAA, PGGHG, CAD, SSU72, AMPD1, PTPRGA, ACYP1, ABHD10B, SUPV3L1, PREPL, USP43A, EIF4A1B, BTD, DDAH1, MTHFD2, PTRH2, DPEP1, DNASE1, PDE1CA, THOP1, PIP4P1B, RTEL1, PLA2G1B, PTPN4A, DDX23, PPM1H, HTRA3B, PPM1BB, SI:CH1073-184J22.2, MMP16A, USP12A, USP12B, PPM1BA, INPP5F, ADAMTS18, SI, DHX38, PDE6B, PDE6HB, CPA4, ZRANB3, PDE4BB, USP20, PNPLA8, TDG.1, EPHX4, HELZ, TNS2A, SMARCA2, SI:CH211-282J22.3, SI:DKEY-19E4.5, SMUG1, PNKD, DDX3XB, PPM1LA, PNPLA3, REN, DESI1A, ZGC:123258, ZGC:162941</t>
  </si>
  <si>
    <t>SI:CH73-352P4.8, SLC7A8A, SLC7A7, SLC38A8B, SLC38A9, SLC38A11</t>
  </si>
  <si>
    <t>CACNA1HA, CACNA2D3A, CACNA1SA, CACNB3A, CACNA1EB, CACNA2D3, CACNG7A, CACNG3B</t>
  </si>
  <si>
    <t>CACNA1HA, TRPC6A, CACNA2D3A, CACNA1SA, CACNA1EB, CACNA2D3, ITPR1B, CACNG7A, TRPM7, PKD2L1, CACNG3B</t>
  </si>
  <si>
    <t>PANK4, PRKAB1B, CKMT2B, ZMYND8, PIK3CD, NELL2B, ITPKCB, TLK2, PRKG2, IP6K2A, IKBKG, MAP3K9, BMPR2B, PRKCG, SI:CH211-160B11.4, IGF1RA, EPHA6, EPHA8, LMTK2, PKN1A, VRK1, ERN2, LATS2, NME6, PRKD4, PIK3CA, PRKD3, HKDC1, CNKSR3, ULK3, ALPK2, FAM20CB, ERBB3B, PDXKB, FAM20CA, OBSCNA, ITPK1B, FGFR1A, PFKLA, TTBK2B, TTBK2A, ADGRG1, SPEGB, MKNK1, INSRB, SNRKB, TRIOB, TRPM7, TRIOA, PLK4, MAP3K3, CSNK2A2B, PPIP5K1A, TBCK, CDK4, STK26, SI:CH211-51C14.1, DDR2B, FGFR3, CAMK1DA</t>
  </si>
  <si>
    <t>LPCAT4, LPCAT2, AGPAT2, AGPAT3</t>
  </si>
  <si>
    <t>GATAD2AB, ESR2B, FOXH1, NR6A1A, POU6F2, FOXN4, FOXM1, TSN, RUNX1, PAX2A, SNAPC1A, NR2F6B, SMAD4A, PAX9, LONP1, PPARG, GATA1B, RORCB, FOXG1B, MTA3, HOXC1A, CSRNP1B, FOXJ1A</t>
  </si>
  <si>
    <t>SPON1A, LGALS2A, EXT1C, ZMYND8, CACNA1SA, TSHZ3B, PKD2L1, RSF1B.1, PPM1DB, GTF3AB, CDK5RAP1, LIMA1A, CYP1B1, PRKCG, ZMP:0000001082, ESCO1, SYTL5, JMJD6, RNF123, PRKD4, PRKD3, SUCLG2, SI:CH211-10D23.5, IDO1, ITPK1B, RTEL1, ZGC:175214, SUPT4H1, NR6A1A, AGAP2, BAZ2A, AGAP3, NRXN2B, USP12A, NR2F6B, ADAMTS18, ZNF704, CACNA1EB, TRPM7, RAB11FIP3, LYAR, ZRANB3, SI:DKEY-210J14.3, THAP11, ICN, PARP12A, RORCB, FARSA, ARHGAP29B, GPHNB, MOCS3, PDZRN3B, OLA1, IDE, EEA1, THTPA, ING2, MECOM, MMP28, REV3L, ARIH2, IKBKG, CHD4B, RNF152, MIOS, GATAD2AB, TOP3A, AMPD1, NRXN1A, CYP2Y3, NME6, CYP21A2, SMAD4A, MTF2, PITPNM2, SI:DKEY-10O6.2, PPARG, MICU1, EPS15L1A, PRIM1, NKD1, ADCY3A, TDO2B, NUCB2B, ZGC:173581, SI:CH73-181D5.4, FTH1B, DOHH, LETM1, CACNA1HA, LPCAT4, LPCAT2, PPM1LA, PRDM5, NELL2A, TATDN3, ZUFSP, GLCEB, ENPP1, SI:CH211-202H22.8, NUDT14, ADCY2B, NANOS1, ZBTB38, CDKAL1, ZBTB34, ATP11A, SDHB, ACAP1, DPEP1, RIMS2A, TRIM46A, FAM20CB, FAM20CA, KMT2E, ZCCHC7, ARL6, UBA5, ESR2B, HPCA, ACTN3B, ALOX12, SLC1A5, ACACB, SETDB1B, UBR7, TAX1BP1A, ZBBX, SLC38A9, S100A10B, CPA4, PDE4BB, ZFHX2, SMAD9, HELZ, COQ7, GRIN2AA, LHX3, TBXAS1, UBA2, SP9, ZCCHC2, TRIM71, RNF10, ZC3H6, CHD3, BTR07, ZC3H7A, EFHD1, MAN1A1, PGM1, DST, MMP2, CAD, ARAP3, ZFPM2A, TSN, LNX2A, RASA2, PDE1CA, B4GALT7, THOP1, BIRC2, ZNF740A, MICAL2B, PFKLA, PLA2G1B, ZBTB49, MICALL1A, PPM1BB, MMP16A, CBL, PPM1BA, SI:CH73-109D9.3, HECTD1, SI:CH73-109D9.2, KDM7AB, PDE6B, GATA1B, MTA3, POLR2L, ACANA, TAF15, KDM4C, CHURC1, USP20, PDLIM5A, TNS2A, SI:CH211-282J22.3, S100W, PNKD, IMPDH2, VPS41, PVALB8, SMAP1, PVALB4</t>
  </si>
  <si>
    <t>DUSP10, CTDSP1, PPM1LA, SSU72, PPM1H, PPM1BB, SI:CH1073-184J22.2, PPM1DB, DUSP26, PPM1BA</t>
  </si>
  <si>
    <t>PANK4, CKMT2B, SMCHD1, LONP1, MAP3K9, ABCA1B, ADCY2B, PRKCG, MYH9A, MYH9B, EPHA6, EPHA8, LMTK2, VRK1, ATP11A, RUNX1, ERN2, EIF4A1B, PRKD4, PRKD3, MSH3, ULK3, SUCLG2, ALPK2, FAM20CB, FAM20CA, ITPK1B, FGFR1A, RTEL1, UBA5, WU:FB13G09, KIF5AA, ACACB, ADGRG1, INSRB, SNRKB, TRIOB, DHX38, TRPM7, TRIOA, PLK4, ZRANB3, MYO5AA, HELZ, CSNK2A2B, SMARCA2, PPIP5K1A, TBCK, CDK4, DDX3XB, STK26, MYO5C, UBA2, DDR2B, FARSA, FGFR3, GPHNB, MOCS3, CHD9, MYO1HA, OLA1, PIK3CD, CHD3, KIF19, TLK2, PRKG2, CHD4B, BMPR2B, ABCA4B, DDX59, IGF1RA, APAF1, CAD, DARS2, ACSL1A, PKN1A, ABCC9, KIF23, SMC1B, SUPV3L1, ACTR2B, LATS2, NME6, PIK3CA, HKDC1, DMC1, ERBB3B, OBSCNA, PFKLA, SI:DKEY-119F1.1, DDX23, TTBK2B, TTBK2A, ADCY3A, ATAD2B, SPEGB, TTN.2, MKNK1, MAP3K3, ATAD3, MYO1B, PSMC1B, NAV2A, CAMK1DA</t>
  </si>
  <si>
    <t>PANK4, KDM1A, PRKAB1B, CKMT2B, EXT1C, ZMYND8, PRDM5, GALNT18B, NELL2B, ITPKCB, CDK5RAP1, MAP3K9, MTPAP, CMTR2, PRKCG, EPHA6, ESCO1, EPHA8, LMTK2, CDKAL1, VRK1, POLRMT, ERN2, PRKD4, PRKD3, ULK3, ALPK2, FAM20CB, FAM20CA, PNP6, ITPK1B, FGFR1A, ZGC:77880, ADGRG1, SETDB1B, INSRB, SNRKB, TRIOB, TRPM7, TRIOA, SULT5A1, PLK4, ICMT, CSNK2A2B, PPIP5K1A, CMASA, TBCK, CDK4, NDUFAF7, STK26, UBA2, DDR2B, FGFR3, GPHNB, TRIM71, MOCS3, PDZRN3B, PIK3CD, PNP4A, MECOM, REV3L, ARIH2, TLK2, PRKG2, IP6K2A, IKBKG, RNF152, BMPR2B, SI:CH211-160B11.4, PRMT5, IGF1RA, CAD, PKN1A, PIGC, LATS2, NME6, PIK3CA, HKDC1, CNKSR3, PIGM, ERBB3B, PDXKB, GAPDH, ST6GALNAC4, B4GALT7, ST6GALNAC6, OBSCNA, PFKLA, TPMT.1, PRIM1, LCAT, CPT1AB, TTBK2B, CBL, AGPAT2, TTBK2A, AGPAT3, CEPT1B, HECTD1, SPEGB, MKNK1, METTL4, MAP3K3, GNMT, GPAM, LPCAT4, CERS2A, QPCT, LPCAT2, ETFBKMT, SI:CH211-51C14.1, CAMK1DA</t>
  </si>
  <si>
    <t>ZMP:0000001082, EGFL6, ITGB1A, ITGB4, LAMB2, JAM3A, ITGB3B, SI:CH211-66E2.5, CCN1, FERMT2</t>
  </si>
  <si>
    <t>PNP6, PFKLA, FH, MOCS3, CKMT2B, GAA, CAD, PGGHG, EPHX4, CDKAL1, OPLAH, ACACB, ALDH1L2, RCL1, PNP4A, MTHFD2, SI, IMPDH2, CDK5RAP1, SUCLG2, DNASE1, ZGC:162941</t>
  </si>
  <si>
    <t>YAP1, NTN1A, NTN1B, CDC42, CSF1B, EPYC, SLC4A1A, IKBKG, LINGO1A, OPCML, WU:FC46H12, MEIS1B, PCDH15A, UNC5B, ITGB3B, POU6F2, SMAD9, SEC14L8, ZFPM2A, FMNL3, RCL1, NGFRB, KCTD10, SMAD4A, NCAM1A, FGFR3</t>
  </si>
  <si>
    <t>NKX2.9, TEAD3A, NKX2.7, CHD9, HIST2H2L, TSHZ3B, CHD3, FOXM1, PAX2A, TIAL1, GTF3AB, MECOM, DBX1A, REV3L, LONP1, UBTF, CHD4B, FOXJ1A, PKNOX2, NKX3-1, MEIS1B, OTX2B, GATAD2AB, STRBP, FOXH1, TOP3A, SEBOX, RFX3, HER4.2, ZFPM2A, POLRMT, TSN, SREBF2, RUNX1, SMC1B, SUPV3L1, MSH3, MTF2, PAX9, DMC1, NKX2.1, LCOR, PPARG, DNASE1, HOXC1A, POU2F1B, ZNF740A, SI:DKEY-261M9.17, RTEL1, POLDIP2, ESR2B, NR6A1A, ZGC:173552, TCF7L1B, BAZ2A, XPC, ATOH7, NR2F6B, SETDB1B, CHTF8, ZNF704, POLR2F, E2F5, FOXG1B, LYAR, DRGX, PURG, POU2F2A, POLR2L, SMARCE1, FOSL1A, ZFHX2, POU6F2, SI:DKEY-210J14.3, SUB1A, HELZ, FOXN4, VAX1, ALX4A, SMARCA2, THAP11, SMUG1, NFATC3A, LHX3, CERS2A, TAF4A, SI:RP71-1D10.8, TMEM18, RORCB, SP9, HOXC3A</t>
  </si>
  <si>
    <t>TRIM71, ZGC:173581, PDZRN3B, HECW2A, NEDD4L, UBE3B, CBL, RNF123, HECTD1, KCTD10, LNX2A, ARIH2, BIRC6, RNF152</t>
  </si>
  <si>
    <t>ATOH7, RNF10, PRDM5, FOXH1, SMAD4A, RFX3, PER1B, FOXN4, AHRRB</t>
  </si>
  <si>
    <t>SYNE2B, MYO5AA, MICAL2B, MYH9A, MYH9B, DST, WU:FI46H04, PDLIM5A, FLII, WIPF2B, MYO1HA, EPB41A, ACTN3B, KLHL3, FMNL3, MYO1B, ACTR2B, SYNPO2LA, DAAM2, MYO5C, PHACTR2, WASF3B, SPTBN1</t>
  </si>
  <si>
    <t>FGFR1A, IGF1RA, EPHA6, EPHA8, INSRB, ERBB3B, DDR2B, FGFR3</t>
  </si>
  <si>
    <t>GPAM, LPCAT4, LPCAT2, LCAT</t>
  </si>
  <si>
    <t>MOCS3, UBA5, UBA2</t>
  </si>
  <si>
    <t>SUPV3L1, ZRANB3, DDX59, RTEL1, EIF4A1B, DDX3XB, DDX23, DHX38, HELZ, CHD3, CHD4B</t>
  </si>
  <si>
    <t>SMARCC2, NCAPD2, ANP32B, NCAPD3, RSF1B.1, CHD3, CHD4B, SMARCA2, ATAD2B, TSPY</t>
  </si>
  <si>
    <t>TDO2B, KDM4C, P3H1, SI:DKEY-10O6.2, KDM7AB, ALOX12, JMJD6, IDO1</t>
  </si>
  <si>
    <t>CDH7A, EPS15L1A, CTNND1, CDH13, PKP1, PKP4, CDH27, SI:CH211-186J3.6, ARVCFA</t>
  </si>
  <si>
    <t>PRKCG, PRKD4, PRKD3, PKN1A</t>
  </si>
  <si>
    <t>PPP1R16B, PPP1R16A</t>
  </si>
  <si>
    <t>CDK5RAP1, CDKAL1</t>
  </si>
  <si>
    <t>ALOX12, SI:DKEY-17E16.9</t>
  </si>
  <si>
    <t>DUSP10, PTPN4A, PPM1LA, SSU72, PPM1H, PTPRGA, PPM1BB, SI:CH1073-184J22.2, PPM1DB, TNS2A, PPM1BA</t>
  </si>
  <si>
    <t>SI, GAA, MAN1A1, LCT, ABHD10B, SI:CH211-282J22.3</t>
  </si>
  <si>
    <t>PPM1LA, PPM1BB, PPM1DB, PPM1BA</t>
  </si>
  <si>
    <t>NANOS1, DAP1B, SAMD4B</t>
  </si>
  <si>
    <t>Category color</t>
  </si>
  <si>
    <t>"Category color",</t>
  </si>
  <si>
    <t>#7f6333</t>
  </si>
  <si>
    <t>#0da285</t>
  </si>
  <si>
    <t>#2c72ae</t>
  </si>
  <si>
    <t>go_terms</t>
  </si>
  <si>
    <t>category</t>
  </si>
  <si>
    <t>count</t>
  </si>
  <si>
    <t>transformed_pvalue</t>
  </si>
  <si>
    <t>GO:0006629</t>
  </si>
  <si>
    <t>lipid metabolic process</t>
  </si>
  <si>
    <t>GO:0006865</t>
  </si>
  <si>
    <t>amino acid transport</t>
  </si>
  <si>
    <t>GO:0003333</t>
  </si>
  <si>
    <t>amino acid transmembrane transport</t>
  </si>
  <si>
    <t>GO:1903251</t>
  </si>
  <si>
    <t>multi-ciliated epithelial cell differentiation</t>
  </si>
  <si>
    <t>GO:0005764</t>
  </si>
  <si>
    <t>lysosome</t>
  </si>
  <si>
    <t>GO:0005783</t>
  </si>
  <si>
    <t>endoplasmic reticulum</t>
  </si>
  <si>
    <t>GO:0005667</t>
  </si>
  <si>
    <t>transcription regulator complex</t>
  </si>
  <si>
    <t>GO:0012505</t>
  </si>
  <si>
    <t>endomembrane system</t>
  </si>
  <si>
    <t>GO:0034702</t>
  </si>
  <si>
    <t>monoatomic ion channel complex</t>
  </si>
  <si>
    <t>GO:0035861</t>
  </si>
  <si>
    <t>site of double-strand break</t>
  </si>
  <si>
    <t>GO:0070161</t>
  </si>
  <si>
    <t>anchoring junction</t>
  </si>
  <si>
    <t>GO:0015179</t>
  </si>
  <si>
    <t>L-amino acid transmembrane transporter activity</t>
  </si>
  <si>
    <t>GO:0004864</t>
  </si>
  <si>
    <t>protein phosphatase inhibitor activity</t>
  </si>
  <si>
    <t>GO:0004672</t>
  </si>
  <si>
    <t>protein kinase activity</t>
  </si>
  <si>
    <t>GO:0005085</t>
  </si>
  <si>
    <t>guanyl-nucleotide exchange factor activity</t>
  </si>
  <si>
    <t>GO:0007043</t>
  </si>
  <si>
    <t>cell-cell junction assembly</t>
  </si>
  <si>
    <t>GO:0048846</t>
  </si>
  <si>
    <t>axon extension involved in axon guidance</t>
  </si>
  <si>
    <t>GO:0007411</t>
  </si>
  <si>
    <t>axon guidance</t>
  </si>
  <si>
    <t>GO:0003401</t>
  </si>
  <si>
    <t>axis elongation</t>
  </si>
  <si>
    <t>GO:0060271</t>
  </si>
  <si>
    <t>cilium assembly</t>
  </si>
  <si>
    <t>GO:0006811</t>
  </si>
  <si>
    <t>monoatomic ion transport</t>
  </si>
  <si>
    <t>GO:0050919</t>
  </si>
  <si>
    <t>negative chemotaxis</t>
  </si>
  <si>
    <t>GO:0021952</t>
  </si>
  <si>
    <t>central nervous system projection neuron axonogenesis</t>
  </si>
  <si>
    <t>GO:0098609</t>
  </si>
  <si>
    <t>cell-cell adhesion</t>
  </si>
  <si>
    <t>GO:0001822</t>
  </si>
  <si>
    <t>kidney development</t>
  </si>
  <si>
    <t>GO:0021960</t>
  </si>
  <si>
    <t>anterior commissure morphogenesis</t>
  </si>
  <si>
    <t>GO:1990798</t>
  </si>
  <si>
    <t>pancreas regeneration</t>
  </si>
  <si>
    <t>GO:0000122</t>
  </si>
  <si>
    <t>negative regulation of transcription by RNA polymerase II</t>
  </si>
  <si>
    <t>GO:0030198</t>
  </si>
  <si>
    <t>extracellular matrix organization</t>
  </si>
  <si>
    <t>GO:0035249</t>
  </si>
  <si>
    <t>synaptic transmission, glutamatergic</t>
  </si>
  <si>
    <t>GO:0016310</t>
  </si>
  <si>
    <t>phosphorylation</t>
  </si>
  <si>
    <t>GO:0071526</t>
  </si>
  <si>
    <t>semaphorin-plexin signaling pathway</t>
  </si>
  <si>
    <t>GO:0061386</t>
  </si>
  <si>
    <t>closure of optic fissure</t>
  </si>
  <si>
    <t>GO:0001944</t>
  </si>
  <si>
    <t>vasculature development</t>
  </si>
  <si>
    <t>GO:0048793</t>
  </si>
  <si>
    <t>pronephros development</t>
  </si>
  <si>
    <t>GO:0005912</t>
  </si>
  <si>
    <t>adherens junction</t>
  </si>
  <si>
    <t>GO:0000145</t>
  </si>
  <si>
    <t>exocyst</t>
  </si>
  <si>
    <t>GO:0005576</t>
  </si>
  <si>
    <t>extracellular region</t>
  </si>
  <si>
    <t>GO:0005604</t>
  </si>
  <si>
    <t>basement membrane</t>
  </si>
  <si>
    <t>GO:0035869</t>
  </si>
  <si>
    <t>ciliary transition zone</t>
  </si>
  <si>
    <t>GO:0045296</t>
  </si>
  <si>
    <t>cadherin binding</t>
  </si>
  <si>
    <t>GO:0003995</t>
  </si>
  <si>
    <t>acyl-CoA dehydrogenase activity</t>
  </si>
  <si>
    <t>GO:0016740</t>
  </si>
  <si>
    <t>transferase activity</t>
  </si>
  <si>
    <t>GO:0005254</t>
  </si>
  <si>
    <t>chloride channel activity</t>
  </si>
  <si>
    <t>GO:0004386</t>
  </si>
  <si>
    <t>helicase activity</t>
  </si>
  <si>
    <t>GO:1904315</t>
  </si>
  <si>
    <t>transmitter-gated monoatomic ion channel activity involved in regulation of postsynaptic membrane potential</t>
  </si>
  <si>
    <t>GO:0046934</t>
  </si>
  <si>
    <t>1-phosphatidylinositol-4,5-bisphosphate 3-kinase activity</t>
  </si>
  <si>
    <t>GO:1904888</t>
  </si>
  <si>
    <t>cranial skeletal system development</t>
  </si>
  <si>
    <t>GO:0050821</t>
  </si>
  <si>
    <t>protein stabilization</t>
  </si>
  <si>
    <t>GO:0060291</t>
  </si>
  <si>
    <t>long-term synaptic potentiation</t>
  </si>
  <si>
    <t>GO:0000082</t>
  </si>
  <si>
    <t>G1/S transition of mitotic cell cycle</t>
  </si>
  <si>
    <t>GO:0010508</t>
  </si>
  <si>
    <t>positive regulation of autophagy</t>
  </si>
  <si>
    <t>GO:0002040</t>
  </si>
  <si>
    <t>sprouting angiogenesis</t>
  </si>
  <si>
    <t>GO:0006355</t>
  </si>
  <si>
    <t>regulation of DNA-templated transcription</t>
  </si>
  <si>
    <t>GO:0006644</t>
  </si>
  <si>
    <t>phospholipid metabolic process</t>
  </si>
  <si>
    <t>GO:0007156</t>
  </si>
  <si>
    <t>homophilic cell adhesion via plasma membrane adhesion molecules</t>
  </si>
  <si>
    <t>GO:0034198</t>
  </si>
  <si>
    <t>cellular response to amino acid starvation</t>
  </si>
  <si>
    <t>GO:0000821</t>
  </si>
  <si>
    <t>regulation of arginine metabolic process</t>
  </si>
  <si>
    <t>GO:2000050</t>
  </si>
  <si>
    <t>regulation of non-canonical Wnt signaling pathway</t>
  </si>
  <si>
    <t>GO:0006111</t>
  </si>
  <si>
    <t>regulation of gluconeogenesis</t>
  </si>
  <si>
    <t>GO:0006338</t>
  </si>
  <si>
    <t>chromatin remodeling</t>
  </si>
  <si>
    <t>GO:0016477</t>
  </si>
  <si>
    <t>cell migration</t>
  </si>
  <si>
    <t>GO:0060287</t>
  </si>
  <si>
    <t>epithelial cilium movement involved in determination of left/right asymmetry</t>
  </si>
  <si>
    <t>GO:0005634</t>
  </si>
  <si>
    <t>nucleus</t>
  </si>
  <si>
    <t>GO:0042645</t>
  </si>
  <si>
    <t>mitochondrial nucleoid</t>
  </si>
  <si>
    <t>GO:0017146</t>
  </si>
  <si>
    <t>NMDA selective glutamate receptor complex</t>
  </si>
  <si>
    <t>GO:0016581</t>
  </si>
  <si>
    <t>NuRD complex</t>
  </si>
  <si>
    <t>GO:0000785</t>
  </si>
  <si>
    <t>chromatin</t>
  </si>
  <si>
    <t>GO:0005730</t>
  </si>
  <si>
    <t>nucleolus</t>
  </si>
  <si>
    <t>GO:0003677</t>
  </si>
  <si>
    <t>DNA binding</t>
  </si>
  <si>
    <t>GO:0051213</t>
  </si>
  <si>
    <t>dioxygenase activity</t>
  </si>
  <si>
    <t>GO:0003841</t>
  </si>
  <si>
    <t>1-acylglycerol-3-phosphate O-acyltransferase activity</t>
  </si>
  <si>
    <t>GO:0000976</t>
  </si>
  <si>
    <t>transcription cis-regulatory region binding</t>
  </si>
  <si>
    <t>GO:0004842</t>
  </si>
  <si>
    <t>ubiquitin-protein transferase activity</t>
  </si>
  <si>
    <t>GO:0042393</t>
  </si>
  <si>
    <t>histone binding</t>
  </si>
  <si>
    <t>GO:0043548</t>
  </si>
  <si>
    <t>phosphatidylinositol 3-kinase binding</t>
  </si>
  <si>
    <t>GO:0048495</t>
  </si>
  <si>
    <t>Roundabout binding</t>
  </si>
  <si>
    <t>GO:0034458</t>
  </si>
  <si>
    <t>3'-5' RNA helicase activity</t>
  </si>
  <si>
    <t>GO:0003723</t>
  </si>
  <si>
    <t>RNA binding</t>
  </si>
  <si>
    <t>GO:0004972</t>
  </si>
  <si>
    <t>NMDA glutamate receptor activity</t>
  </si>
  <si>
    <t>GO:0016887</t>
  </si>
  <si>
    <t>ATP hydrolysis activity</t>
  </si>
  <si>
    <t>GO:0001968</t>
  </si>
  <si>
    <t>fibronectin binding</t>
  </si>
  <si>
    <t>GO:0035091</t>
  </si>
  <si>
    <t>phosphatidylinositol binding</t>
  </si>
  <si>
    <t>GO:0038024</t>
  </si>
  <si>
    <t>cargo receptor activity</t>
  </si>
  <si>
    <t>GO:0005520</t>
  </si>
  <si>
    <t>insulin-like growth factor binding</t>
  </si>
  <si>
    <t>GO:0004833</t>
  </si>
  <si>
    <t>tryptophan 2,3-dioxygenase activity</t>
  </si>
  <si>
    <t>GO:0016706</t>
  </si>
  <si>
    <t>2-oxoglutarate-dependent dioxygenase activity</t>
  </si>
  <si>
    <t>GO:0003725</t>
  </si>
  <si>
    <t>double-stranded RNA binding</t>
  </si>
  <si>
    <t>GO:0038023</t>
  </si>
  <si>
    <t>signaling receptor activity</t>
  </si>
  <si>
    <t>GO:0045499</t>
  </si>
  <si>
    <t>chemorepellent activity</t>
  </si>
  <si>
    <t>GO:0019369</t>
  </si>
  <si>
    <t>arachidonic acid metabolic process</t>
  </si>
  <si>
    <t>GO:0006813</t>
  </si>
  <si>
    <t>potassium ion transport</t>
  </si>
  <si>
    <t>GO:0007507</t>
  </si>
  <si>
    <t>heart development</t>
  </si>
  <si>
    <t>GO:0006096</t>
  </si>
  <si>
    <t>glycolytic process</t>
  </si>
  <si>
    <t>GO:0008593</t>
  </si>
  <si>
    <t>regulation of Notch signaling pathway</t>
  </si>
  <si>
    <t>GO:0006397</t>
  </si>
  <si>
    <t>mRNA processing</t>
  </si>
  <si>
    <t>GO:0001889</t>
  </si>
  <si>
    <t>liver development</t>
  </si>
  <si>
    <t>GO:0055085</t>
  </si>
  <si>
    <t>transmembrane transport</t>
  </si>
  <si>
    <t>GO:0030509</t>
  </si>
  <si>
    <t>BMP signaling pathway</t>
  </si>
  <si>
    <t>GO:0043123</t>
  </si>
  <si>
    <t>positive regulation of canonical NF-kappaB signal transduction</t>
  </si>
  <si>
    <t>GO:0090630</t>
  </si>
  <si>
    <t>activation of GTPase activity</t>
  </si>
  <si>
    <t>GO:0048738</t>
  </si>
  <si>
    <t>cardiac muscle tissue development</t>
  </si>
  <si>
    <t>GO:0006099</t>
  </si>
  <si>
    <t>tricarboxylic acid cycle</t>
  </si>
  <si>
    <t>GO:0051601</t>
  </si>
  <si>
    <t>exocyst localization</t>
  </si>
  <si>
    <t>GO:0051726</t>
  </si>
  <si>
    <t>regulation of cell cycle</t>
  </si>
  <si>
    <t>GO:0035329</t>
  </si>
  <si>
    <t>hippo signaling</t>
  </si>
  <si>
    <t>GO:0030050</t>
  </si>
  <si>
    <t>vesicle transport along actin filament</t>
  </si>
  <si>
    <t>GO:0034315</t>
  </si>
  <si>
    <t>regulation of Arp2/3 complex-mediated actin nucleation</t>
  </si>
  <si>
    <t>GO:0007214</t>
  </si>
  <si>
    <t>gamma-aminobutyric acid signaling pathway</t>
  </si>
  <si>
    <t>GO:0003007</t>
  </si>
  <si>
    <t>heart morphogenesis</t>
  </si>
  <si>
    <t>GO:0003146</t>
  </si>
  <si>
    <t>heart jogging</t>
  </si>
  <si>
    <t>GO:0007492</t>
  </si>
  <si>
    <t>endoderm development</t>
  </si>
  <si>
    <t>GO:0006360</t>
  </si>
  <si>
    <t>transcription by RNA polymerase I</t>
  </si>
  <si>
    <t>GO:0035970</t>
  </si>
  <si>
    <t>peptidyl-threonine dephosphorylation</t>
  </si>
  <si>
    <t>GO:0015031</t>
  </si>
  <si>
    <t>protein transport</t>
  </si>
  <si>
    <t>GO:0019918</t>
  </si>
  <si>
    <t>peptidyl-arginine methylation, to symmetrical-dimethyl arginine</t>
  </si>
  <si>
    <t>GO:0070371</t>
  </si>
  <si>
    <t>ERK1 and ERK2 cascade</t>
  </si>
  <si>
    <t>GO:0036269</t>
  </si>
  <si>
    <t>swimming behavior</t>
  </si>
  <si>
    <t>GO:0016043</t>
  </si>
  <si>
    <t>cellular component organization</t>
  </si>
  <si>
    <t>GO:0043204</t>
  </si>
  <si>
    <t>perikaryon</t>
  </si>
  <si>
    <t>GO:0019898</t>
  </si>
  <si>
    <t>extrinsic component of membrane</t>
  </si>
  <si>
    <t>GO:0005768</t>
  </si>
  <si>
    <t>endosome</t>
  </si>
  <si>
    <t>GO:0005829</t>
  </si>
  <si>
    <t>cytosol</t>
  </si>
  <si>
    <t>GO:0099634</t>
  </si>
  <si>
    <t>postsynaptic specialization membrane</t>
  </si>
  <si>
    <t>GO:0097543</t>
  </si>
  <si>
    <t>ciliary inversin compartment</t>
  </si>
  <si>
    <t>GO:0000779</t>
  </si>
  <si>
    <t>condensed chromosome, centromeric region</t>
  </si>
  <si>
    <t>GO:0034967</t>
  </si>
  <si>
    <t>Set3 complex</t>
  </si>
  <si>
    <t>GO:0043565</t>
  </si>
  <si>
    <t>sequence-specific DNA binding</t>
  </si>
  <si>
    <t>GO:0017018</t>
  </si>
  <si>
    <t>myosin phosphatase activity</t>
  </si>
  <si>
    <t>GO:0005178</t>
  </si>
  <si>
    <t>integrin binding</t>
  </si>
  <si>
    <t>GO:0003824</t>
  </si>
  <si>
    <t>catalytic activity</t>
  </si>
  <si>
    <t>GO:0003779</t>
  </si>
  <si>
    <t>actin binding</t>
  </si>
  <si>
    <t>GO:0008374</t>
  </si>
  <si>
    <t>O-acyltransferase activity</t>
  </si>
  <si>
    <t>GO:0008641</t>
  </si>
  <si>
    <t>ubiquitin-like modifier activating enzyme activity</t>
  </si>
  <si>
    <t>GO:0004697</t>
  </si>
  <si>
    <t>diacylglycerol-dependent serine/threonine kinase activity</t>
  </si>
  <si>
    <t>GO:0017020</t>
  </si>
  <si>
    <t>myosin phosphatase regulator activity</t>
  </si>
  <si>
    <t>GO:0035596</t>
  </si>
  <si>
    <t>methylthiotransferase activity</t>
  </si>
  <si>
    <t>GO:0050473</t>
  </si>
  <si>
    <t>arachidonate 15-lipoxygenase activity</t>
  </si>
  <si>
    <t>GO:0004721</t>
  </si>
  <si>
    <t>phosphoprotein phosphatase activity</t>
  </si>
  <si>
    <t>GO:0004553</t>
  </si>
  <si>
    <t>hydrolase activity, hydrolyzing O-glycosyl compounds</t>
  </si>
  <si>
    <t>GO:0043169</t>
  </si>
  <si>
    <t>cation binding</t>
  </si>
  <si>
    <t>GO:0030371</t>
  </si>
  <si>
    <t>translation repressor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</si>
</sst>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 (Body)"/>
    </font>
    <font>
      <sz val="12"/>
      <color rgb="FF00B05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11" fontId="4" fillId="0" borderId="0" xfId="0" applyNumberFormat="1" applyFont="1"/>
    <xf numFmtId="0" fontId="1" fillId="0" borderId="0" xfId="0" applyFont="1"/>
    <xf numFmtId="0" fontId="5" fillId="0" borderId="0" xfId="0" applyFont="1"/>
    <xf numFmtId="164" fontId="4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E2CD-F9D1-ED48-8878-6BAB22BFFF7F}">
  <dimension ref="A1:A2"/>
  <sheetViews>
    <sheetView tabSelected="1" workbookViewId="0"/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36BB-35FE-A54E-90CC-63BF05C66532}">
  <dimension ref="A1:S73"/>
  <sheetViews>
    <sheetView workbookViewId="0">
      <selection activeCell="G2" sqref="G2:G10"/>
    </sheetView>
  </sheetViews>
  <sheetFormatPr baseColWidth="10" defaultRowHeight="16" x14ac:dyDescent="0.2"/>
  <cols>
    <col min="1" max="1" width="18.83203125" bestFit="1" customWidth="1"/>
    <col min="2" max="2" width="11.33203125" bestFit="1" customWidth="1"/>
    <col min="3" max="3" width="78" customWidth="1"/>
    <col min="4" max="4" width="68.83203125" bestFit="1" customWidth="1"/>
    <col min="5" max="5" width="15.8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7" width="12.1640625" bestFit="1" customWidth="1"/>
    <col min="18" max="18" width="9.5" bestFit="1" customWidth="1"/>
    <col min="19" max="19" width="4.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15</v>
      </c>
      <c r="B2" s="2" t="s">
        <v>419</v>
      </c>
      <c r="C2" s="2" t="s">
        <v>420</v>
      </c>
      <c r="D2" s="2" t="str">
        <f>CHAR(34)&amp;C2&amp;CHAR(34)&amp;","</f>
        <v>"monoatomic ion transmembrane transport",</v>
      </c>
      <c r="E2" s="2" t="s">
        <v>350</v>
      </c>
      <c r="F2" s="2" t="s">
        <v>596</v>
      </c>
      <c r="G2" s="2" t="str">
        <f>CHAR(34)&amp;F2&amp;CHAR(34)&amp;","</f>
        <v>"#7f6333",</v>
      </c>
      <c r="H2" s="2">
        <v>30</v>
      </c>
      <c r="I2" s="2">
        <v>2.7173913043478199</v>
      </c>
      <c r="J2" s="2">
        <v>2.1897386685871098E-3</v>
      </c>
      <c r="K2" s="7">
        <f>-(LOG(J2))</f>
        <v>2.6596077123574791</v>
      </c>
      <c r="L2" s="2" t="s">
        <v>459</v>
      </c>
      <c r="M2" s="2">
        <v>974</v>
      </c>
      <c r="N2" s="2">
        <v>369</v>
      </c>
      <c r="O2" s="2">
        <v>21944</v>
      </c>
      <c r="P2" s="2">
        <v>1.83168895343984</v>
      </c>
      <c r="Q2" s="2">
        <v>0.96798847400153099</v>
      </c>
      <c r="R2" s="2">
        <v>1</v>
      </c>
      <c r="S2" s="2">
        <v>1</v>
      </c>
    </row>
    <row r="3" spans="1:19" x14ac:dyDescent="0.2">
      <c r="A3" s="2" t="s">
        <v>15</v>
      </c>
      <c r="B3" s="2" t="s">
        <v>411</v>
      </c>
      <c r="C3" s="2" t="s">
        <v>412</v>
      </c>
      <c r="D3" s="2" t="str">
        <f t="shared" ref="D3:D66" si="0">CHAR(34)&amp;C3&amp;CHAR(34)&amp;","</f>
        <v>"cell adhesion",</v>
      </c>
      <c r="E3" s="2" t="s">
        <v>350</v>
      </c>
      <c r="F3" s="2" t="s">
        <v>596</v>
      </c>
      <c r="G3" s="2" t="str">
        <f t="shared" ref="G3:G66" si="1">CHAR(34)&amp;F3&amp;CHAR(34)&amp;","</f>
        <v>"#7f6333",</v>
      </c>
      <c r="H3" s="2">
        <v>35</v>
      </c>
      <c r="I3" s="2">
        <v>3.1702898550724599</v>
      </c>
      <c r="J3" s="2">
        <v>2.59151622503092E-3</v>
      </c>
      <c r="K3" s="7">
        <f t="shared" ref="K3:K66" si="2">-(LOG(J3))</f>
        <v>2.5864460677739625</v>
      </c>
      <c r="L3" s="2" t="s">
        <v>460</v>
      </c>
      <c r="M3" s="2">
        <v>974</v>
      </c>
      <c r="N3" s="2">
        <v>460</v>
      </c>
      <c r="O3" s="2">
        <v>21944</v>
      </c>
      <c r="P3" s="2">
        <v>1.7142219444692399</v>
      </c>
      <c r="Q3" s="2">
        <v>0.98299013187044904</v>
      </c>
      <c r="R3" s="2">
        <v>1</v>
      </c>
      <c r="S3" s="2">
        <v>1</v>
      </c>
    </row>
    <row r="4" spans="1:19" x14ac:dyDescent="0.2">
      <c r="A4" s="2" t="s">
        <v>15</v>
      </c>
      <c r="B4" s="2" t="s">
        <v>607</v>
      </c>
      <c r="C4" s="2" t="s">
        <v>608</v>
      </c>
      <c r="D4" s="2" t="str">
        <f t="shared" si="0"/>
        <v>"amino acid transmembrane transport",</v>
      </c>
      <c r="E4" s="2" t="s">
        <v>350</v>
      </c>
      <c r="F4" s="2" t="s">
        <v>596</v>
      </c>
      <c r="G4" s="2" t="str">
        <f t="shared" si="1"/>
        <v>"#7f6333",</v>
      </c>
      <c r="H4" s="2">
        <v>6</v>
      </c>
      <c r="I4" s="2">
        <v>0.54347826086956497</v>
      </c>
      <c r="J4" s="2">
        <v>2.9283342579885401E-3</v>
      </c>
      <c r="K4" s="7">
        <f t="shared" si="2"/>
        <v>2.5333793517548515</v>
      </c>
      <c r="L4" s="2" t="s">
        <v>461</v>
      </c>
      <c r="M4" s="2">
        <v>974</v>
      </c>
      <c r="N4" s="2">
        <v>23</v>
      </c>
      <c r="O4" s="2">
        <v>21944</v>
      </c>
      <c r="P4" s="2">
        <v>5.8773323810373999</v>
      </c>
      <c r="Q4" s="2">
        <v>0.98999058812803697</v>
      </c>
      <c r="R4" s="2">
        <v>1</v>
      </c>
      <c r="S4" s="2">
        <v>1</v>
      </c>
    </row>
    <row r="5" spans="1:19" x14ac:dyDescent="0.2">
      <c r="A5" s="2" t="s">
        <v>15</v>
      </c>
      <c r="B5" s="2" t="s">
        <v>405</v>
      </c>
      <c r="C5" s="2" t="s">
        <v>406</v>
      </c>
      <c r="D5" s="2" t="str">
        <f t="shared" si="0"/>
        <v>"animal organ development",</v>
      </c>
      <c r="E5" s="2" t="s">
        <v>350</v>
      </c>
      <c r="F5" s="2" t="s">
        <v>596</v>
      </c>
      <c r="G5" s="2" t="str">
        <f t="shared" si="1"/>
        <v>"#7f6333",</v>
      </c>
      <c r="H5" s="2">
        <v>17</v>
      </c>
      <c r="I5" s="2">
        <v>1.5398550724637601</v>
      </c>
      <c r="J5" s="2">
        <v>3.3425155185322799E-3</v>
      </c>
      <c r="K5" s="7">
        <f t="shared" si="2"/>
        <v>2.4759265677317099</v>
      </c>
      <c r="L5" s="2" t="s">
        <v>462</v>
      </c>
      <c r="M5" s="2">
        <v>974</v>
      </c>
      <c r="N5" s="2">
        <v>168</v>
      </c>
      <c r="O5" s="2">
        <v>21944</v>
      </c>
      <c r="P5" s="2">
        <v>2.2797985724063698</v>
      </c>
      <c r="Q5" s="2">
        <v>0.99478668473535004</v>
      </c>
      <c r="R5" s="2">
        <v>1</v>
      </c>
      <c r="S5" s="2">
        <v>1</v>
      </c>
    </row>
    <row r="6" spans="1:19" x14ac:dyDescent="0.2">
      <c r="A6" s="2" t="s">
        <v>15</v>
      </c>
      <c r="B6" s="2" t="s">
        <v>399</v>
      </c>
      <c r="C6" s="2" t="s">
        <v>400</v>
      </c>
      <c r="D6" s="2" t="str">
        <f t="shared" si="0"/>
        <v>"retina development in camera-type eye",</v>
      </c>
      <c r="E6" s="2" t="s">
        <v>350</v>
      </c>
      <c r="F6" s="2" t="s">
        <v>596</v>
      </c>
      <c r="G6" s="2" t="str">
        <f t="shared" si="1"/>
        <v>"#7f6333",</v>
      </c>
      <c r="H6" s="2">
        <v>15</v>
      </c>
      <c r="I6" s="2">
        <v>1.35869565217391</v>
      </c>
      <c r="J6" s="2">
        <v>4.2952964620891296E-3</v>
      </c>
      <c r="K6" s="7">
        <f t="shared" si="2"/>
        <v>2.3670068557195694</v>
      </c>
      <c r="L6" s="2" t="s">
        <v>463</v>
      </c>
      <c r="M6" s="2">
        <v>974</v>
      </c>
      <c r="N6" s="2">
        <v>142</v>
      </c>
      <c r="O6" s="2">
        <v>21944</v>
      </c>
      <c r="P6" s="2">
        <v>2.3799057176735898</v>
      </c>
      <c r="Q6" s="2">
        <v>0.99883861261339801</v>
      </c>
      <c r="R6" s="2">
        <v>1</v>
      </c>
      <c r="S6" s="2">
        <v>1</v>
      </c>
    </row>
    <row r="7" spans="1:19" x14ac:dyDescent="0.2">
      <c r="A7" s="2" t="s">
        <v>15</v>
      </c>
      <c r="B7" s="2" t="s">
        <v>431</v>
      </c>
      <c r="C7" s="2" t="s">
        <v>432</v>
      </c>
      <c r="D7" s="2" t="str">
        <f t="shared" si="0"/>
        <v>"calcium ion transport",</v>
      </c>
      <c r="E7" s="2" t="s">
        <v>350</v>
      </c>
      <c r="F7" s="2" t="s">
        <v>596</v>
      </c>
      <c r="G7" s="2" t="str">
        <f t="shared" si="1"/>
        <v>"#7f6333",</v>
      </c>
      <c r="H7" s="2">
        <v>12</v>
      </c>
      <c r="I7" s="2">
        <v>1.0869565217391299</v>
      </c>
      <c r="J7" s="2">
        <v>5.1390634170727098E-3</v>
      </c>
      <c r="K7" s="7">
        <f t="shared" si="2"/>
        <v>2.2891160230007972</v>
      </c>
      <c r="L7" s="2" t="s">
        <v>464</v>
      </c>
      <c r="M7" s="2">
        <v>974</v>
      </c>
      <c r="N7" s="2">
        <v>101</v>
      </c>
      <c r="O7" s="2">
        <v>21944</v>
      </c>
      <c r="P7" s="2">
        <v>2.6768048468091101</v>
      </c>
      <c r="Q7" s="2">
        <v>0.99969314422114397</v>
      </c>
      <c r="R7" s="2">
        <v>1</v>
      </c>
      <c r="S7" s="2">
        <v>1</v>
      </c>
    </row>
    <row r="8" spans="1:19" x14ac:dyDescent="0.2">
      <c r="A8" s="2" t="s">
        <v>15</v>
      </c>
      <c r="B8" s="2" t="s">
        <v>727</v>
      </c>
      <c r="C8" s="2" t="s">
        <v>728</v>
      </c>
      <c r="D8" s="2" t="str">
        <f t="shared" si="0"/>
        <v>"epithelial cilium movement involved in determination of left/right asymmetry",</v>
      </c>
      <c r="E8" s="2" t="s">
        <v>350</v>
      </c>
      <c r="F8" s="2" t="s">
        <v>596</v>
      </c>
      <c r="G8" s="2" t="str">
        <f t="shared" si="1"/>
        <v>"#7f6333",</v>
      </c>
      <c r="H8" s="2">
        <v>5</v>
      </c>
      <c r="I8" s="2">
        <v>0.45289855072463697</v>
      </c>
      <c r="J8" s="2">
        <v>7.1426230233670304E-3</v>
      </c>
      <c r="K8" s="7">
        <f t="shared" si="2"/>
        <v>2.1461422706639</v>
      </c>
      <c r="L8" s="2" t="s">
        <v>465</v>
      </c>
      <c r="M8" s="2">
        <v>974</v>
      </c>
      <c r="N8" s="2">
        <v>18</v>
      </c>
      <c r="O8" s="2">
        <v>21944</v>
      </c>
      <c r="P8" s="2">
        <v>6.2582705909194596</v>
      </c>
      <c r="Q8" s="2">
        <v>0.99998704667789395</v>
      </c>
      <c r="R8" s="2">
        <v>1</v>
      </c>
      <c r="S8" s="2">
        <v>1</v>
      </c>
    </row>
    <row r="9" spans="1:19" x14ac:dyDescent="0.2">
      <c r="A9" s="2" t="s">
        <v>15</v>
      </c>
      <c r="B9" s="2" t="s">
        <v>643</v>
      </c>
      <c r="C9" s="2" t="s">
        <v>644</v>
      </c>
      <c r="D9" s="2" t="str">
        <f t="shared" si="0"/>
        <v>"monoatomic ion transport",</v>
      </c>
      <c r="E9" s="2" t="s">
        <v>350</v>
      </c>
      <c r="F9" s="2" t="s">
        <v>596</v>
      </c>
      <c r="G9" s="2" t="str">
        <f t="shared" si="1"/>
        <v>"#7f6333",</v>
      </c>
      <c r="H9" s="2">
        <v>42</v>
      </c>
      <c r="I9" s="2">
        <v>3.8043478260869499</v>
      </c>
      <c r="J9" s="2">
        <v>8.3034895036017096E-3</v>
      </c>
      <c r="K9" s="7">
        <f t="shared" si="2"/>
        <v>2.0807393589878953</v>
      </c>
      <c r="L9" s="2" t="s">
        <v>466</v>
      </c>
      <c r="M9" s="2">
        <v>974</v>
      </c>
      <c r="N9" s="2">
        <v>625</v>
      </c>
      <c r="O9" s="2">
        <v>21944</v>
      </c>
      <c r="P9" s="2">
        <v>1.5140008213552301</v>
      </c>
      <c r="Q9" s="2">
        <v>0.99999793608138698</v>
      </c>
      <c r="R9" s="2">
        <v>1</v>
      </c>
      <c r="S9" s="2">
        <v>1</v>
      </c>
    </row>
    <row r="10" spans="1:19" x14ac:dyDescent="0.2">
      <c r="A10" s="2" t="s">
        <v>15</v>
      </c>
      <c r="B10" s="2" t="s">
        <v>445</v>
      </c>
      <c r="C10" s="2" t="s">
        <v>446</v>
      </c>
      <c r="D10" s="2" t="str">
        <f t="shared" si="0"/>
        <v>"calcium ion transmembrane transport",</v>
      </c>
      <c r="E10" s="2" t="s">
        <v>350</v>
      </c>
      <c r="F10" s="2" t="s">
        <v>596</v>
      </c>
      <c r="G10" s="2" t="str">
        <f t="shared" si="1"/>
        <v>"#7f6333",</v>
      </c>
      <c r="H10" s="2">
        <v>12</v>
      </c>
      <c r="I10" s="2">
        <v>1.0869565217391299</v>
      </c>
      <c r="J10" s="2">
        <v>9.6459154856437992E-3</v>
      </c>
      <c r="K10" s="7">
        <f t="shared" si="2"/>
        <v>2.0156565475436543</v>
      </c>
      <c r="L10" s="2" t="s">
        <v>467</v>
      </c>
      <c r="M10" s="2">
        <v>974</v>
      </c>
      <c r="N10" s="2">
        <v>110</v>
      </c>
      <c r="O10" s="2">
        <v>21944</v>
      </c>
      <c r="P10" s="2">
        <v>2.4577935411610898</v>
      </c>
      <c r="Q10" s="2">
        <v>0.99999975391767804</v>
      </c>
      <c r="R10" s="2">
        <v>1</v>
      </c>
      <c r="S10" s="2">
        <v>1</v>
      </c>
    </row>
    <row r="11" spans="1:19" x14ac:dyDescent="0.2">
      <c r="A11" t="s">
        <v>15</v>
      </c>
      <c r="B11" t="s">
        <v>669</v>
      </c>
      <c r="C11" t="s">
        <v>670</v>
      </c>
      <c r="D11" t="str">
        <f t="shared" si="0"/>
        <v>"vasculature development",</v>
      </c>
      <c r="E11" t="s">
        <v>350</v>
      </c>
      <c r="F11" t="s">
        <v>596</v>
      </c>
      <c r="G11" t="str">
        <f t="shared" si="1"/>
        <v>"#7f6333",</v>
      </c>
      <c r="H11">
        <v>10</v>
      </c>
      <c r="I11">
        <v>0.90579710144927505</v>
      </c>
      <c r="J11">
        <v>1.1146380702127799E-2</v>
      </c>
      <c r="K11" s="8">
        <f t="shared" si="2"/>
        <v>1.9528661277960757</v>
      </c>
      <c r="L11" t="s">
        <v>468</v>
      </c>
      <c r="M11">
        <v>974</v>
      </c>
      <c r="N11">
        <v>83</v>
      </c>
      <c r="O11">
        <v>21944</v>
      </c>
      <c r="P11">
        <v>2.7144306177481998</v>
      </c>
      <c r="Q11">
        <v>0.999999977235837</v>
      </c>
      <c r="R11">
        <v>1</v>
      </c>
      <c r="S11">
        <v>1</v>
      </c>
    </row>
    <row r="12" spans="1:19" x14ac:dyDescent="0.2">
      <c r="A12" t="s">
        <v>15</v>
      </c>
      <c r="B12" t="s">
        <v>659</v>
      </c>
      <c r="C12" t="s">
        <v>660</v>
      </c>
      <c r="D12" t="str">
        <f t="shared" si="0"/>
        <v>"extracellular matrix organization",</v>
      </c>
      <c r="E12" t="s">
        <v>350</v>
      </c>
      <c r="F12" t="s">
        <v>596</v>
      </c>
      <c r="G12" t="str">
        <f t="shared" si="1"/>
        <v>"#7f6333",</v>
      </c>
      <c r="H12">
        <v>14</v>
      </c>
      <c r="I12">
        <v>1.26811594202898</v>
      </c>
      <c r="J12">
        <v>1.18261047160691E-2</v>
      </c>
      <c r="K12" s="8">
        <f t="shared" si="2"/>
        <v>1.9271582797923814</v>
      </c>
      <c r="L12" t="s">
        <v>469</v>
      </c>
      <c r="M12">
        <v>974</v>
      </c>
      <c r="N12">
        <v>144</v>
      </c>
      <c r="O12">
        <v>21944</v>
      </c>
      <c r="P12">
        <v>2.1903947068218099</v>
      </c>
      <c r="Q12">
        <v>0.99999999226604297</v>
      </c>
      <c r="R12">
        <v>1</v>
      </c>
      <c r="S12">
        <v>1</v>
      </c>
    </row>
    <row r="13" spans="1:19" x14ac:dyDescent="0.2">
      <c r="A13" t="s">
        <v>15</v>
      </c>
      <c r="B13" t="s">
        <v>453</v>
      </c>
      <c r="C13" t="s">
        <v>454</v>
      </c>
      <c r="D13" t="str">
        <f t="shared" si="0"/>
        <v>"midbrain development",</v>
      </c>
      <c r="E13" t="s">
        <v>350</v>
      </c>
      <c r="F13" t="s">
        <v>596</v>
      </c>
      <c r="G13" t="str">
        <f t="shared" si="1"/>
        <v>"#7f6333",</v>
      </c>
      <c r="H13">
        <v>6</v>
      </c>
      <c r="I13">
        <v>0.54347826086956497</v>
      </c>
      <c r="J13">
        <v>1.6216431614562599E-2</v>
      </c>
      <c r="K13" s="8">
        <f t="shared" si="2"/>
        <v>1.7900447050323467</v>
      </c>
      <c r="L13" t="s">
        <v>470</v>
      </c>
      <c r="M13">
        <v>974</v>
      </c>
      <c r="N13">
        <v>34</v>
      </c>
      <c r="O13">
        <v>21944</v>
      </c>
      <c r="P13">
        <v>3.97584249305471</v>
      </c>
      <c r="Q13">
        <v>0.99999999999288203</v>
      </c>
      <c r="R13">
        <v>1</v>
      </c>
      <c r="S13">
        <v>1</v>
      </c>
    </row>
    <row r="14" spans="1:19" x14ac:dyDescent="0.2">
      <c r="A14" t="s">
        <v>15</v>
      </c>
      <c r="B14" t="s">
        <v>423</v>
      </c>
      <c r="C14" t="s">
        <v>424</v>
      </c>
      <c r="D14" t="str">
        <f t="shared" si="0"/>
        <v>"intracellular protein transport",</v>
      </c>
      <c r="E14" t="s">
        <v>350</v>
      </c>
      <c r="F14" t="s">
        <v>596</v>
      </c>
      <c r="G14" t="str">
        <f t="shared" si="1"/>
        <v>"#7f6333",</v>
      </c>
      <c r="H14">
        <v>21</v>
      </c>
      <c r="I14">
        <v>1.9021739130434701</v>
      </c>
      <c r="J14">
        <v>1.7834919488570501E-2</v>
      </c>
      <c r="K14" s="8">
        <f t="shared" si="2"/>
        <v>1.7487288468385782</v>
      </c>
      <c r="L14" t="s">
        <v>471</v>
      </c>
      <c r="M14">
        <v>974</v>
      </c>
      <c r="N14">
        <v>270</v>
      </c>
      <c r="O14">
        <v>21944</v>
      </c>
      <c r="P14">
        <v>1.7523157654574399</v>
      </c>
      <c r="Q14">
        <v>0.99999999999946299</v>
      </c>
      <c r="R14">
        <v>1</v>
      </c>
      <c r="S14">
        <v>1</v>
      </c>
    </row>
    <row r="15" spans="1:19" x14ac:dyDescent="0.2">
      <c r="A15" t="s">
        <v>15</v>
      </c>
      <c r="B15" t="s">
        <v>633</v>
      </c>
      <c r="C15" t="s">
        <v>634</v>
      </c>
      <c r="D15" t="str">
        <f t="shared" si="0"/>
        <v>"cell-cell junction assembly",</v>
      </c>
      <c r="E15" t="s">
        <v>350</v>
      </c>
      <c r="F15" t="s">
        <v>596</v>
      </c>
      <c r="G15" t="str">
        <f t="shared" si="1"/>
        <v>"#7f6333",</v>
      </c>
      <c r="H15">
        <v>8</v>
      </c>
      <c r="I15">
        <v>0.72463768115941996</v>
      </c>
      <c r="J15">
        <v>1.79398019194408E-2</v>
      </c>
      <c r="K15" s="8">
        <f t="shared" si="2"/>
        <v>1.7461823564852796</v>
      </c>
      <c r="L15" t="s">
        <v>472</v>
      </c>
      <c r="M15">
        <v>974</v>
      </c>
      <c r="N15">
        <v>61</v>
      </c>
      <c r="O15">
        <v>21944</v>
      </c>
      <c r="P15">
        <v>2.9547244757127902</v>
      </c>
      <c r="Q15">
        <v>0.99999999999954603</v>
      </c>
      <c r="R15">
        <v>1</v>
      </c>
      <c r="S15">
        <v>1</v>
      </c>
    </row>
    <row r="16" spans="1:19" x14ac:dyDescent="0.2">
      <c r="A16" t="s">
        <v>15</v>
      </c>
      <c r="B16" t="s">
        <v>455</v>
      </c>
      <c r="C16" t="s">
        <v>456</v>
      </c>
      <c r="D16" t="str">
        <f t="shared" si="0"/>
        <v>"midbrain-hindbrain boundary development",</v>
      </c>
      <c r="E16" t="s">
        <v>350</v>
      </c>
      <c r="F16" t="s">
        <v>596</v>
      </c>
      <c r="G16" t="str">
        <f t="shared" si="1"/>
        <v>"#7f6333",</v>
      </c>
      <c r="H16">
        <v>6</v>
      </c>
      <c r="I16">
        <v>0.54347826086956497</v>
      </c>
      <c r="J16">
        <v>1.8247280481571801E-2</v>
      </c>
      <c r="K16" s="8">
        <f t="shared" si="2"/>
        <v>1.7388018522954014</v>
      </c>
      <c r="L16" t="s">
        <v>473</v>
      </c>
      <c r="M16">
        <v>974</v>
      </c>
      <c r="N16">
        <v>35</v>
      </c>
      <c r="O16">
        <v>21944</v>
      </c>
      <c r="P16">
        <v>3.8622469932531498</v>
      </c>
      <c r="Q16">
        <v>0.999999999999722</v>
      </c>
      <c r="R16">
        <v>1</v>
      </c>
      <c r="S16">
        <v>1</v>
      </c>
    </row>
    <row r="17" spans="1:19" x14ac:dyDescent="0.2">
      <c r="A17" t="s">
        <v>15</v>
      </c>
      <c r="B17" t="s">
        <v>401</v>
      </c>
      <c r="C17" t="s">
        <v>402</v>
      </c>
      <c r="D17" t="str">
        <f t="shared" si="0"/>
        <v>"endocytosis",</v>
      </c>
      <c r="E17" t="s">
        <v>350</v>
      </c>
      <c r="F17" t="s">
        <v>596</v>
      </c>
      <c r="G17" t="str">
        <f t="shared" si="1"/>
        <v>"#7f6333",</v>
      </c>
      <c r="H17">
        <v>14</v>
      </c>
      <c r="I17">
        <v>1.26811594202898</v>
      </c>
      <c r="J17">
        <v>1.9712625177325499E-2</v>
      </c>
      <c r="K17" s="8">
        <f t="shared" si="2"/>
        <v>1.7052555358368333</v>
      </c>
      <c r="L17" t="s">
        <v>474</v>
      </c>
      <c r="M17">
        <v>974</v>
      </c>
      <c r="N17">
        <v>154</v>
      </c>
      <c r="O17">
        <v>21944</v>
      </c>
      <c r="P17">
        <v>2.0481612843009098</v>
      </c>
      <c r="Q17">
        <v>0.99999999999997302</v>
      </c>
      <c r="R17">
        <v>1</v>
      </c>
      <c r="S17">
        <v>1</v>
      </c>
    </row>
    <row r="18" spans="1:19" x14ac:dyDescent="0.2">
      <c r="A18" t="s">
        <v>15</v>
      </c>
      <c r="B18" t="s">
        <v>439</v>
      </c>
      <c r="C18" t="s">
        <v>440</v>
      </c>
      <c r="D18" t="str">
        <f t="shared" si="0"/>
        <v>"positive regulation of cell population proliferation",</v>
      </c>
      <c r="E18" t="s">
        <v>350</v>
      </c>
      <c r="F18" t="s">
        <v>596</v>
      </c>
      <c r="G18" t="str">
        <f t="shared" si="1"/>
        <v>"#7f6333",</v>
      </c>
      <c r="H18">
        <v>11</v>
      </c>
      <c r="I18">
        <v>0.99637681159420199</v>
      </c>
      <c r="J18">
        <v>2.0451114041382001E-2</v>
      </c>
      <c r="K18" s="8">
        <f t="shared" si="2"/>
        <v>1.6892830295223185</v>
      </c>
      <c r="L18" t="s">
        <v>475</v>
      </c>
      <c r="M18">
        <v>974</v>
      </c>
      <c r="N18">
        <v>107</v>
      </c>
      <c r="O18">
        <v>21944</v>
      </c>
      <c r="P18">
        <v>2.3161450037421498</v>
      </c>
      <c r="Q18">
        <v>0.99999999999999101</v>
      </c>
      <c r="R18">
        <v>1</v>
      </c>
      <c r="S18">
        <v>1</v>
      </c>
    </row>
    <row r="19" spans="1:19" x14ac:dyDescent="0.2">
      <c r="A19" t="s">
        <v>15</v>
      </c>
      <c r="B19" t="s">
        <v>783</v>
      </c>
      <c r="C19" t="s">
        <v>784</v>
      </c>
      <c r="D19" t="str">
        <f t="shared" si="0"/>
        <v>"arachidonic acid metabolic process",</v>
      </c>
      <c r="E19" t="s">
        <v>350</v>
      </c>
      <c r="F19" t="s">
        <v>596</v>
      </c>
      <c r="G19" t="str">
        <f t="shared" si="1"/>
        <v>"#7f6333",</v>
      </c>
      <c r="H19">
        <v>4</v>
      </c>
      <c r="I19">
        <v>0.36231884057970998</v>
      </c>
      <c r="J19">
        <v>2.1928679975656899E-2</v>
      </c>
      <c r="K19" s="8">
        <f t="shared" si="2"/>
        <v>1.658987510435677</v>
      </c>
      <c r="L19" t="s">
        <v>476</v>
      </c>
      <c r="M19">
        <v>974</v>
      </c>
      <c r="N19">
        <v>14</v>
      </c>
      <c r="O19">
        <v>21944</v>
      </c>
      <c r="P19">
        <v>6.4370783220885803</v>
      </c>
      <c r="Q19">
        <v>0.999999999999999</v>
      </c>
      <c r="R19">
        <v>1</v>
      </c>
      <c r="S19">
        <v>1</v>
      </c>
    </row>
    <row r="20" spans="1:19" x14ac:dyDescent="0.2">
      <c r="A20" t="s">
        <v>15</v>
      </c>
      <c r="B20" t="s">
        <v>705</v>
      </c>
      <c r="C20" t="s">
        <v>706</v>
      </c>
      <c r="D20" t="str">
        <f t="shared" si="0"/>
        <v>"positive regulation of autophagy",</v>
      </c>
      <c r="E20" t="s">
        <v>350</v>
      </c>
      <c r="F20" t="s">
        <v>596</v>
      </c>
      <c r="G20" t="str">
        <f t="shared" si="1"/>
        <v>"#7f6333",</v>
      </c>
      <c r="H20">
        <v>4</v>
      </c>
      <c r="I20">
        <v>0.36231884057970998</v>
      </c>
      <c r="J20">
        <v>2.1928679975656899E-2</v>
      </c>
      <c r="K20" s="8">
        <f t="shared" si="2"/>
        <v>1.658987510435677</v>
      </c>
      <c r="L20" t="s">
        <v>477</v>
      </c>
      <c r="M20">
        <v>974</v>
      </c>
      <c r="N20">
        <v>14</v>
      </c>
      <c r="O20">
        <v>21944</v>
      </c>
      <c r="P20">
        <v>6.4370783220885803</v>
      </c>
      <c r="Q20">
        <v>0.999999999999999</v>
      </c>
      <c r="R20">
        <v>1</v>
      </c>
      <c r="S20">
        <v>1</v>
      </c>
    </row>
    <row r="21" spans="1:19" x14ac:dyDescent="0.2">
      <c r="A21" t="s">
        <v>15</v>
      </c>
      <c r="B21" t="s">
        <v>603</v>
      </c>
      <c r="C21" t="s">
        <v>604</v>
      </c>
      <c r="D21" t="str">
        <f t="shared" si="0"/>
        <v>"lipid metabolic process",</v>
      </c>
      <c r="E21" t="s">
        <v>350</v>
      </c>
      <c r="F21" t="s">
        <v>596</v>
      </c>
      <c r="G21" t="str">
        <f t="shared" si="1"/>
        <v>"#7f6333",</v>
      </c>
      <c r="H21">
        <v>31</v>
      </c>
      <c r="I21">
        <v>2.8079710144927499</v>
      </c>
      <c r="J21">
        <v>2.3895950414827401E-2</v>
      </c>
      <c r="K21" s="8">
        <f t="shared" si="2"/>
        <v>1.6216756915835895</v>
      </c>
      <c r="L21" t="s">
        <v>478</v>
      </c>
      <c r="M21">
        <v>974</v>
      </c>
      <c r="N21">
        <v>461</v>
      </c>
      <c r="O21">
        <v>21944</v>
      </c>
      <c r="P21">
        <v>1.5150173491249701</v>
      </c>
      <c r="Q21">
        <v>1</v>
      </c>
      <c r="R21">
        <v>1</v>
      </c>
      <c r="S21">
        <v>1</v>
      </c>
    </row>
    <row r="22" spans="1:19" x14ac:dyDescent="0.2">
      <c r="A22" t="s">
        <v>15</v>
      </c>
      <c r="B22" t="s">
        <v>785</v>
      </c>
      <c r="C22" t="s">
        <v>786</v>
      </c>
      <c r="D22" t="str">
        <f t="shared" si="0"/>
        <v>"potassium ion transport",</v>
      </c>
      <c r="E22" t="s">
        <v>350</v>
      </c>
      <c r="F22" t="s">
        <v>596</v>
      </c>
      <c r="G22" t="str">
        <f t="shared" si="1"/>
        <v>"#7f6333",</v>
      </c>
      <c r="H22">
        <v>13</v>
      </c>
      <c r="I22">
        <v>1.1775362318840501</v>
      </c>
      <c r="J22">
        <v>2.4258812525816398E-2</v>
      </c>
      <c r="K22" s="8">
        <f t="shared" si="2"/>
        <v>1.6151304617591111</v>
      </c>
      <c r="L22" t="s">
        <v>479</v>
      </c>
      <c r="M22">
        <v>974</v>
      </c>
      <c r="N22">
        <v>142</v>
      </c>
      <c r="O22">
        <v>21944</v>
      </c>
      <c r="P22">
        <v>2.0625849553171101</v>
      </c>
      <c r="Q22">
        <v>1</v>
      </c>
      <c r="R22">
        <v>1</v>
      </c>
      <c r="S22">
        <v>1</v>
      </c>
    </row>
    <row r="23" spans="1:19" x14ac:dyDescent="0.2">
      <c r="A23" t="s">
        <v>15</v>
      </c>
      <c r="B23" t="s">
        <v>447</v>
      </c>
      <c r="C23" t="s">
        <v>448</v>
      </c>
      <c r="D23" t="str">
        <f t="shared" si="0"/>
        <v>"peptidyl-serine phosphorylation",</v>
      </c>
      <c r="E23" t="s">
        <v>350</v>
      </c>
      <c r="F23" t="s">
        <v>596</v>
      </c>
      <c r="G23" t="str">
        <f t="shared" si="1"/>
        <v>"#7f6333",</v>
      </c>
      <c r="H23">
        <v>11</v>
      </c>
      <c r="I23">
        <v>0.99637681159420199</v>
      </c>
      <c r="J23">
        <v>2.5669100636398198E-2</v>
      </c>
      <c r="K23" s="8">
        <f t="shared" si="2"/>
        <v>1.5905893473586268</v>
      </c>
      <c r="L23" t="s">
        <v>480</v>
      </c>
      <c r="M23">
        <v>974</v>
      </c>
      <c r="N23">
        <v>111</v>
      </c>
      <c r="O23">
        <v>21944</v>
      </c>
      <c r="P23">
        <v>2.2326803189226099</v>
      </c>
      <c r="Q23">
        <v>1</v>
      </c>
      <c r="R23">
        <v>1</v>
      </c>
      <c r="S23">
        <v>1</v>
      </c>
    </row>
    <row r="24" spans="1:19" x14ac:dyDescent="0.2">
      <c r="A24" t="s">
        <v>15</v>
      </c>
      <c r="B24" t="s">
        <v>787</v>
      </c>
      <c r="C24" t="s">
        <v>788</v>
      </c>
      <c r="D24" t="str">
        <f t="shared" si="0"/>
        <v>"heart development",</v>
      </c>
      <c r="E24" t="s">
        <v>350</v>
      </c>
      <c r="F24" t="s">
        <v>596</v>
      </c>
      <c r="G24" t="str">
        <f t="shared" si="1"/>
        <v>"#7f6333",</v>
      </c>
      <c r="H24">
        <v>21</v>
      </c>
      <c r="I24">
        <v>1.9021739130434701</v>
      </c>
      <c r="J24">
        <v>2.6130840611409301E-2</v>
      </c>
      <c r="K24" s="8">
        <f t="shared" si="2"/>
        <v>1.5828466190891939</v>
      </c>
      <c r="L24" t="s">
        <v>481</v>
      </c>
      <c r="M24">
        <v>974</v>
      </c>
      <c r="N24">
        <v>281</v>
      </c>
      <c r="O24">
        <v>21944</v>
      </c>
      <c r="P24">
        <v>1.6837197746388299</v>
      </c>
      <c r="Q24">
        <v>1</v>
      </c>
      <c r="R24">
        <v>1</v>
      </c>
      <c r="S24">
        <v>1</v>
      </c>
    </row>
    <row r="25" spans="1:19" x14ac:dyDescent="0.2">
      <c r="A25" t="s">
        <v>15</v>
      </c>
      <c r="B25" t="s">
        <v>709</v>
      </c>
      <c r="C25" t="s">
        <v>710</v>
      </c>
      <c r="D25" t="str">
        <f t="shared" si="0"/>
        <v>"regulation of DNA-templated transcription",</v>
      </c>
      <c r="E25" t="s">
        <v>350</v>
      </c>
      <c r="F25" t="s">
        <v>596</v>
      </c>
      <c r="G25" t="str">
        <f t="shared" si="1"/>
        <v>"#7f6333",</v>
      </c>
      <c r="H25">
        <v>63</v>
      </c>
      <c r="I25">
        <v>5.7065217391304301</v>
      </c>
      <c r="J25">
        <v>2.7385286036532099E-2</v>
      </c>
      <c r="K25" s="8">
        <f t="shared" si="2"/>
        <v>1.5624827185497383</v>
      </c>
      <c r="L25" t="s">
        <v>482</v>
      </c>
      <c r="M25">
        <v>974</v>
      </c>
      <c r="N25">
        <v>1091</v>
      </c>
      <c r="O25">
        <v>21944</v>
      </c>
      <c r="P25">
        <v>1.3009860403487901</v>
      </c>
      <c r="Q25">
        <v>1</v>
      </c>
      <c r="R25">
        <v>1</v>
      </c>
      <c r="S25">
        <v>1</v>
      </c>
    </row>
    <row r="26" spans="1:19" x14ac:dyDescent="0.2">
      <c r="A26" t="s">
        <v>15</v>
      </c>
      <c r="B26" t="s">
        <v>789</v>
      </c>
      <c r="C26" t="s">
        <v>790</v>
      </c>
      <c r="D26" t="str">
        <f t="shared" si="0"/>
        <v>"glycolytic process",</v>
      </c>
      <c r="E26" t="s">
        <v>350</v>
      </c>
      <c r="F26" t="s">
        <v>596</v>
      </c>
      <c r="G26" t="str">
        <f t="shared" si="1"/>
        <v>"#7f6333",</v>
      </c>
      <c r="H26">
        <v>6</v>
      </c>
      <c r="I26">
        <v>0.54347826086956497</v>
      </c>
      <c r="J26">
        <v>2.80188389974892E-2</v>
      </c>
      <c r="K26" s="8">
        <f t="shared" si="2"/>
        <v>1.5525498643189903</v>
      </c>
      <c r="L26" t="s">
        <v>483</v>
      </c>
      <c r="M26">
        <v>974</v>
      </c>
      <c r="N26">
        <v>39</v>
      </c>
      <c r="O26">
        <v>21944</v>
      </c>
      <c r="P26">
        <v>3.4661190965092401</v>
      </c>
      <c r="Q26">
        <v>1</v>
      </c>
      <c r="R26">
        <v>1</v>
      </c>
      <c r="S26">
        <v>1</v>
      </c>
    </row>
    <row r="27" spans="1:19" x14ac:dyDescent="0.2">
      <c r="A27" t="s">
        <v>15</v>
      </c>
      <c r="B27" t="s">
        <v>649</v>
      </c>
      <c r="C27" t="s">
        <v>650</v>
      </c>
      <c r="D27" t="str">
        <f t="shared" si="0"/>
        <v>"cell-cell adhesion",</v>
      </c>
      <c r="E27" t="s">
        <v>350</v>
      </c>
      <c r="F27" t="s">
        <v>596</v>
      </c>
      <c r="G27" t="str">
        <f t="shared" si="1"/>
        <v>"#7f6333",</v>
      </c>
      <c r="H27">
        <v>16</v>
      </c>
      <c r="I27">
        <v>1.4492753623188399</v>
      </c>
      <c r="J27">
        <v>2.9633948436226899E-2</v>
      </c>
      <c r="K27" s="8">
        <f t="shared" si="2"/>
        <v>1.5282104791368494</v>
      </c>
      <c r="L27" t="s">
        <v>484</v>
      </c>
      <c r="M27">
        <v>974</v>
      </c>
      <c r="N27">
        <v>197</v>
      </c>
      <c r="O27">
        <v>21944</v>
      </c>
      <c r="P27">
        <v>1.8298293707459901</v>
      </c>
      <c r="Q27">
        <v>1</v>
      </c>
      <c r="R27">
        <v>1</v>
      </c>
      <c r="S27">
        <v>1</v>
      </c>
    </row>
    <row r="28" spans="1:19" x14ac:dyDescent="0.2">
      <c r="A28" t="s">
        <v>15</v>
      </c>
      <c r="B28" t="s">
        <v>715</v>
      </c>
      <c r="C28" t="s">
        <v>716</v>
      </c>
      <c r="D28" t="str">
        <f t="shared" si="0"/>
        <v>"cellular response to amino acid starvation",</v>
      </c>
      <c r="E28" t="s">
        <v>350</v>
      </c>
      <c r="F28" t="s">
        <v>596</v>
      </c>
      <c r="G28" t="str">
        <f t="shared" si="1"/>
        <v>"#7f6333",</v>
      </c>
      <c r="H28">
        <v>4</v>
      </c>
      <c r="I28">
        <v>0.36231884057970998</v>
      </c>
      <c r="J28">
        <v>3.1594605031526501E-2</v>
      </c>
      <c r="K28" s="8">
        <f t="shared" si="2"/>
        <v>1.5003870694407033</v>
      </c>
      <c r="L28" t="s">
        <v>485</v>
      </c>
      <c r="M28">
        <v>974</v>
      </c>
      <c r="N28">
        <v>16</v>
      </c>
      <c r="O28">
        <v>21944</v>
      </c>
      <c r="P28">
        <v>5.6324435318275103</v>
      </c>
      <c r="Q28">
        <v>1</v>
      </c>
      <c r="R28">
        <v>1</v>
      </c>
      <c r="S28">
        <v>1</v>
      </c>
    </row>
    <row r="29" spans="1:19" x14ac:dyDescent="0.2">
      <c r="A29" t="s">
        <v>15</v>
      </c>
      <c r="B29" t="s">
        <v>791</v>
      </c>
      <c r="C29" t="s">
        <v>792</v>
      </c>
      <c r="D29" t="str">
        <f t="shared" si="0"/>
        <v>"regulation of Notch signaling pathway",</v>
      </c>
      <c r="E29" t="s">
        <v>350</v>
      </c>
      <c r="F29" t="s">
        <v>596</v>
      </c>
      <c r="G29" t="str">
        <f t="shared" si="1"/>
        <v>"#7f6333",</v>
      </c>
      <c r="H29">
        <v>5</v>
      </c>
      <c r="I29">
        <v>0.45289855072463697</v>
      </c>
      <c r="J29">
        <v>3.3716379798108001E-2</v>
      </c>
      <c r="K29" s="8">
        <f t="shared" si="2"/>
        <v>1.4721590626982191</v>
      </c>
      <c r="L29" t="s">
        <v>486</v>
      </c>
      <c r="M29">
        <v>974</v>
      </c>
      <c r="N29">
        <v>28</v>
      </c>
      <c r="O29">
        <v>21944</v>
      </c>
      <c r="P29">
        <v>4.0231739513053597</v>
      </c>
      <c r="Q29">
        <v>1</v>
      </c>
      <c r="R29">
        <v>1</v>
      </c>
      <c r="S29">
        <v>1</v>
      </c>
    </row>
    <row r="30" spans="1:19" x14ac:dyDescent="0.2">
      <c r="A30" t="s">
        <v>15</v>
      </c>
      <c r="B30" t="s">
        <v>793</v>
      </c>
      <c r="C30" t="s">
        <v>794</v>
      </c>
      <c r="D30" t="str">
        <f t="shared" si="0"/>
        <v>"mRNA processing",</v>
      </c>
      <c r="E30" t="s">
        <v>350</v>
      </c>
      <c r="F30" t="s">
        <v>596</v>
      </c>
      <c r="G30" t="str">
        <f t="shared" si="1"/>
        <v>"#7f6333",</v>
      </c>
      <c r="H30">
        <v>16</v>
      </c>
      <c r="I30">
        <v>1.4492753623188399</v>
      </c>
      <c r="J30">
        <v>3.4519611430607701E-2</v>
      </c>
      <c r="K30" s="8">
        <f t="shared" si="2"/>
        <v>1.4619341015574274</v>
      </c>
      <c r="L30" t="s">
        <v>487</v>
      </c>
      <c r="M30">
        <v>974</v>
      </c>
      <c r="N30">
        <v>201</v>
      </c>
      <c r="O30">
        <v>21944</v>
      </c>
      <c r="P30">
        <v>1.7934148559052701</v>
      </c>
      <c r="Q30">
        <v>1</v>
      </c>
      <c r="R30">
        <v>1</v>
      </c>
      <c r="S30">
        <v>1</v>
      </c>
    </row>
    <row r="31" spans="1:19" x14ac:dyDescent="0.2">
      <c r="A31" t="s">
        <v>15</v>
      </c>
      <c r="B31" t="s">
        <v>697</v>
      </c>
      <c r="C31" t="s">
        <v>698</v>
      </c>
      <c r="D31" t="str">
        <f t="shared" si="0"/>
        <v>"cranial skeletal system development",</v>
      </c>
      <c r="E31" t="s">
        <v>350</v>
      </c>
      <c r="F31" t="s">
        <v>596</v>
      </c>
      <c r="G31" t="str">
        <f t="shared" si="1"/>
        <v>"#7f6333",</v>
      </c>
      <c r="H31">
        <v>9</v>
      </c>
      <c r="I31">
        <v>0.81521739130434701</v>
      </c>
      <c r="J31">
        <v>3.46777127630458E-2</v>
      </c>
      <c r="K31" s="8">
        <f t="shared" si="2"/>
        <v>1.4599495550004975</v>
      </c>
      <c r="L31" t="s">
        <v>488</v>
      </c>
      <c r="M31">
        <v>974</v>
      </c>
      <c r="N31">
        <v>85</v>
      </c>
      <c r="O31">
        <v>21944</v>
      </c>
      <c r="P31">
        <v>2.3855054958328301</v>
      </c>
      <c r="Q31">
        <v>1</v>
      </c>
      <c r="R31">
        <v>1</v>
      </c>
      <c r="S31">
        <v>1</v>
      </c>
    </row>
    <row r="32" spans="1:19" x14ac:dyDescent="0.2">
      <c r="A32" t="s">
        <v>15</v>
      </c>
      <c r="B32" t="s">
        <v>637</v>
      </c>
      <c r="C32" t="s">
        <v>638</v>
      </c>
      <c r="D32" t="str">
        <f t="shared" si="0"/>
        <v>"axon guidance",</v>
      </c>
      <c r="E32" t="s">
        <v>350</v>
      </c>
      <c r="F32" t="s">
        <v>596</v>
      </c>
      <c r="G32" t="str">
        <f t="shared" si="1"/>
        <v>"#7f6333",</v>
      </c>
      <c r="H32">
        <v>17</v>
      </c>
      <c r="I32">
        <v>1.5398550724637601</v>
      </c>
      <c r="J32">
        <v>3.76970854000728E-2</v>
      </c>
      <c r="K32" s="8">
        <f t="shared" si="2"/>
        <v>1.423692226547453</v>
      </c>
      <c r="L32" t="s">
        <v>489</v>
      </c>
      <c r="M32">
        <v>974</v>
      </c>
      <c r="N32">
        <v>221</v>
      </c>
      <c r="O32">
        <v>21944</v>
      </c>
      <c r="P32">
        <v>1.7330595482546201</v>
      </c>
      <c r="Q32">
        <v>1</v>
      </c>
      <c r="R32">
        <v>1</v>
      </c>
      <c r="S32">
        <v>1</v>
      </c>
    </row>
    <row r="33" spans="1:19" x14ac:dyDescent="0.2">
      <c r="A33" t="s">
        <v>15</v>
      </c>
      <c r="B33" t="s">
        <v>703</v>
      </c>
      <c r="C33" t="s">
        <v>704</v>
      </c>
      <c r="D33" t="str">
        <f t="shared" si="0"/>
        <v>"G1/S transition of mitotic cell cycle",</v>
      </c>
      <c r="E33" t="s">
        <v>350</v>
      </c>
      <c r="F33" t="s">
        <v>596</v>
      </c>
      <c r="G33" t="str">
        <f t="shared" si="1"/>
        <v>"#7f6333",</v>
      </c>
      <c r="H33">
        <v>5</v>
      </c>
      <c r="I33">
        <v>0.45289855072463697</v>
      </c>
      <c r="J33">
        <v>3.7783227034885299E-2</v>
      </c>
      <c r="K33" s="8">
        <f t="shared" si="2"/>
        <v>1.4227009520893545</v>
      </c>
      <c r="L33" t="s">
        <v>490</v>
      </c>
      <c r="M33">
        <v>974</v>
      </c>
      <c r="N33">
        <v>29</v>
      </c>
      <c r="O33">
        <v>21944</v>
      </c>
      <c r="P33">
        <v>3.8844438150534502</v>
      </c>
      <c r="Q33">
        <v>1</v>
      </c>
      <c r="R33">
        <v>1</v>
      </c>
      <c r="S33">
        <v>1</v>
      </c>
    </row>
    <row r="34" spans="1:19" x14ac:dyDescent="0.2">
      <c r="A34" t="s">
        <v>15</v>
      </c>
      <c r="B34" t="s">
        <v>795</v>
      </c>
      <c r="C34" t="s">
        <v>796</v>
      </c>
      <c r="D34" t="str">
        <f t="shared" si="0"/>
        <v>"liver development",</v>
      </c>
      <c r="E34" t="s">
        <v>350</v>
      </c>
      <c r="F34" t="s">
        <v>596</v>
      </c>
      <c r="G34" t="str">
        <f t="shared" si="1"/>
        <v>"#7f6333",</v>
      </c>
      <c r="H34">
        <v>11</v>
      </c>
      <c r="I34">
        <v>0.99637681159420199</v>
      </c>
      <c r="J34">
        <v>3.8844130879138697E-2</v>
      </c>
      <c r="K34" s="8">
        <f t="shared" si="2"/>
        <v>1.4106745912609551</v>
      </c>
      <c r="L34" t="s">
        <v>491</v>
      </c>
      <c r="M34">
        <v>974</v>
      </c>
      <c r="N34">
        <v>119</v>
      </c>
      <c r="O34">
        <v>21944</v>
      </c>
      <c r="P34">
        <v>2.0825841630286601</v>
      </c>
      <c r="Q34">
        <v>1</v>
      </c>
      <c r="R34">
        <v>1</v>
      </c>
      <c r="S34">
        <v>1</v>
      </c>
    </row>
    <row r="35" spans="1:19" x14ac:dyDescent="0.2">
      <c r="A35" t="s">
        <v>15</v>
      </c>
      <c r="B35" t="s">
        <v>797</v>
      </c>
      <c r="C35" t="s">
        <v>798</v>
      </c>
      <c r="D35" t="str">
        <f t="shared" si="0"/>
        <v>"transmembrane transport",</v>
      </c>
      <c r="E35" t="s">
        <v>350</v>
      </c>
      <c r="F35" t="s">
        <v>596</v>
      </c>
      <c r="G35" t="str">
        <f t="shared" si="1"/>
        <v>"#7f6333",</v>
      </c>
      <c r="H35">
        <v>36</v>
      </c>
      <c r="I35">
        <v>3.2608695652173898</v>
      </c>
      <c r="J35">
        <v>3.8958668157693999E-2</v>
      </c>
      <c r="K35" s="8">
        <f t="shared" si="2"/>
        <v>1.4093958983450379</v>
      </c>
      <c r="L35" t="s">
        <v>492</v>
      </c>
      <c r="M35">
        <v>974</v>
      </c>
      <c r="N35">
        <v>577</v>
      </c>
      <c r="O35">
        <v>21944</v>
      </c>
      <c r="P35">
        <v>1.4056704828130999</v>
      </c>
      <c r="Q35">
        <v>1</v>
      </c>
      <c r="R35">
        <v>1</v>
      </c>
      <c r="S35">
        <v>1</v>
      </c>
    </row>
    <row r="36" spans="1:19" x14ac:dyDescent="0.2">
      <c r="A36" t="s">
        <v>15</v>
      </c>
      <c r="B36" t="s">
        <v>397</v>
      </c>
      <c r="C36" t="s">
        <v>398</v>
      </c>
      <c r="D36" t="str">
        <f t="shared" si="0"/>
        <v>"glial cell development",</v>
      </c>
      <c r="E36" t="s">
        <v>350</v>
      </c>
      <c r="F36" t="s">
        <v>596</v>
      </c>
      <c r="G36" t="str">
        <f t="shared" si="1"/>
        <v>"#7f6333",</v>
      </c>
      <c r="H36">
        <v>6</v>
      </c>
      <c r="I36">
        <v>0.54347826086956497</v>
      </c>
      <c r="J36">
        <v>4.0590046361973602E-2</v>
      </c>
      <c r="K36" s="8">
        <f t="shared" si="2"/>
        <v>1.3915804526310318</v>
      </c>
      <c r="L36" t="s">
        <v>17</v>
      </c>
      <c r="M36">
        <v>974</v>
      </c>
      <c r="N36">
        <v>43</v>
      </c>
      <c r="O36">
        <v>21944</v>
      </c>
      <c r="P36">
        <v>3.1436894131130302</v>
      </c>
      <c r="Q36">
        <v>1</v>
      </c>
      <c r="R36">
        <v>1</v>
      </c>
      <c r="S36">
        <v>1</v>
      </c>
    </row>
    <row r="37" spans="1:19" x14ac:dyDescent="0.2">
      <c r="A37" t="s">
        <v>15</v>
      </c>
      <c r="B37" t="s">
        <v>651</v>
      </c>
      <c r="C37" t="s">
        <v>652</v>
      </c>
      <c r="D37" t="str">
        <f t="shared" si="0"/>
        <v>"kidney development",</v>
      </c>
      <c r="E37" t="s">
        <v>350</v>
      </c>
      <c r="F37" t="s">
        <v>596</v>
      </c>
      <c r="G37" t="str">
        <f t="shared" si="1"/>
        <v>"#7f6333",</v>
      </c>
      <c r="H37">
        <v>6</v>
      </c>
      <c r="I37">
        <v>0.54347826086956497</v>
      </c>
      <c r="J37">
        <v>4.0590046361973602E-2</v>
      </c>
      <c r="K37" s="8">
        <f t="shared" si="2"/>
        <v>1.3915804526310318</v>
      </c>
      <c r="L37" t="s">
        <v>493</v>
      </c>
      <c r="M37">
        <v>974</v>
      </c>
      <c r="N37">
        <v>43</v>
      </c>
      <c r="O37">
        <v>21944</v>
      </c>
      <c r="P37">
        <v>3.1436894131130302</v>
      </c>
      <c r="Q37">
        <v>1</v>
      </c>
      <c r="R37">
        <v>1</v>
      </c>
      <c r="S37">
        <v>1</v>
      </c>
    </row>
    <row r="38" spans="1:19" x14ac:dyDescent="0.2">
      <c r="A38" t="s">
        <v>15</v>
      </c>
      <c r="B38" t="s">
        <v>395</v>
      </c>
      <c r="C38" t="s">
        <v>396</v>
      </c>
      <c r="D38" t="str">
        <f t="shared" si="0"/>
        <v>"cell surface receptor protein tyrosine kinase signaling pathway",</v>
      </c>
      <c r="E38" t="s">
        <v>350</v>
      </c>
      <c r="F38" t="s">
        <v>596</v>
      </c>
      <c r="G38" t="str">
        <f t="shared" si="1"/>
        <v>"#7f6333",</v>
      </c>
      <c r="H38">
        <v>11</v>
      </c>
      <c r="I38">
        <v>0.99637681159420199</v>
      </c>
      <c r="J38">
        <v>4.2753741871878498E-2</v>
      </c>
      <c r="K38" s="8">
        <f t="shared" si="2"/>
        <v>1.3690258691652291</v>
      </c>
      <c r="L38" t="s">
        <v>494</v>
      </c>
      <c r="M38">
        <v>974</v>
      </c>
      <c r="N38">
        <v>121</v>
      </c>
      <c r="O38">
        <v>21944</v>
      </c>
      <c r="P38">
        <v>2.0481612843009098</v>
      </c>
      <c r="Q38">
        <v>1</v>
      </c>
      <c r="R38">
        <v>1</v>
      </c>
      <c r="S38">
        <v>1</v>
      </c>
    </row>
    <row r="39" spans="1:19" x14ac:dyDescent="0.2">
      <c r="A39" t="s">
        <v>15</v>
      </c>
      <c r="B39" t="s">
        <v>799</v>
      </c>
      <c r="C39" t="s">
        <v>800</v>
      </c>
      <c r="D39" t="str">
        <f t="shared" si="0"/>
        <v>"BMP signaling pathway",</v>
      </c>
      <c r="E39" t="s">
        <v>350</v>
      </c>
      <c r="F39" t="s">
        <v>596</v>
      </c>
      <c r="G39" t="str">
        <f t="shared" si="1"/>
        <v>"#7f6333",</v>
      </c>
      <c r="H39">
        <v>7</v>
      </c>
      <c r="I39">
        <v>0.63405797101449202</v>
      </c>
      <c r="J39">
        <v>4.2841366345415903E-2</v>
      </c>
      <c r="K39" s="8">
        <f t="shared" si="2"/>
        <v>1.3681366866074143</v>
      </c>
      <c r="L39" t="s">
        <v>495</v>
      </c>
      <c r="M39">
        <v>974</v>
      </c>
      <c r="N39">
        <v>58</v>
      </c>
      <c r="O39">
        <v>21944</v>
      </c>
      <c r="P39">
        <v>2.7191106705374199</v>
      </c>
      <c r="Q39">
        <v>1</v>
      </c>
      <c r="R39">
        <v>1</v>
      </c>
      <c r="S39">
        <v>1</v>
      </c>
    </row>
    <row r="40" spans="1:19" x14ac:dyDescent="0.2">
      <c r="A40" t="s">
        <v>15</v>
      </c>
      <c r="B40" t="s">
        <v>647</v>
      </c>
      <c r="C40" t="s">
        <v>648</v>
      </c>
      <c r="D40" t="str">
        <f t="shared" si="0"/>
        <v>"central nervous system projection neuron axonogenesis",</v>
      </c>
      <c r="E40" t="s">
        <v>350</v>
      </c>
      <c r="F40" t="s">
        <v>596</v>
      </c>
      <c r="G40" t="str">
        <f t="shared" si="1"/>
        <v>"#7f6333",</v>
      </c>
      <c r="H40">
        <v>4</v>
      </c>
      <c r="I40">
        <v>0.36231884057970998</v>
      </c>
      <c r="J40">
        <v>4.3129582256448397E-2</v>
      </c>
      <c r="K40" s="8">
        <f t="shared" si="2"/>
        <v>1.3652247483135411</v>
      </c>
      <c r="L40" t="s">
        <v>496</v>
      </c>
      <c r="M40">
        <v>974</v>
      </c>
      <c r="N40">
        <v>18</v>
      </c>
      <c r="O40">
        <v>21944</v>
      </c>
      <c r="P40">
        <v>5.00661647273557</v>
      </c>
      <c r="Q40">
        <v>1</v>
      </c>
      <c r="R40">
        <v>1</v>
      </c>
      <c r="S40">
        <v>1</v>
      </c>
    </row>
    <row r="41" spans="1:19" x14ac:dyDescent="0.2">
      <c r="A41" t="s">
        <v>15</v>
      </c>
      <c r="B41" t="s">
        <v>657</v>
      </c>
      <c r="C41" t="s">
        <v>658</v>
      </c>
      <c r="D41" t="str">
        <f t="shared" si="0"/>
        <v>"negative regulation of transcription by RNA polymerase II",</v>
      </c>
      <c r="E41" t="s">
        <v>350</v>
      </c>
      <c r="F41" t="s">
        <v>596</v>
      </c>
      <c r="G41" t="str">
        <f t="shared" si="1"/>
        <v>"#7f6333",</v>
      </c>
      <c r="H41">
        <v>20</v>
      </c>
      <c r="I41">
        <v>1.8115942028985501</v>
      </c>
      <c r="J41">
        <v>4.4410530967152702E-2</v>
      </c>
      <c r="K41" s="8">
        <f t="shared" si="2"/>
        <v>1.352514034420875</v>
      </c>
      <c r="L41" t="s">
        <v>497</v>
      </c>
      <c r="M41">
        <v>974</v>
      </c>
      <c r="N41">
        <v>280</v>
      </c>
      <c r="O41">
        <v>21944</v>
      </c>
      <c r="P41">
        <v>1.60926958052214</v>
      </c>
      <c r="Q41">
        <v>1</v>
      </c>
      <c r="R41">
        <v>1</v>
      </c>
      <c r="S41">
        <v>1</v>
      </c>
    </row>
    <row r="42" spans="1:19" x14ac:dyDescent="0.2">
      <c r="A42" t="s">
        <v>15</v>
      </c>
      <c r="B42" t="s">
        <v>801</v>
      </c>
      <c r="C42" t="s">
        <v>802</v>
      </c>
      <c r="D42" t="str">
        <f t="shared" si="0"/>
        <v>"positive regulation of canonical NF-kappaB signal transduction",</v>
      </c>
      <c r="E42" t="s">
        <v>350</v>
      </c>
      <c r="F42" t="s">
        <v>596</v>
      </c>
      <c r="G42" t="str">
        <f t="shared" si="1"/>
        <v>"#7f6333",</v>
      </c>
      <c r="H42">
        <v>8</v>
      </c>
      <c r="I42">
        <v>0.72463768115941996</v>
      </c>
      <c r="J42">
        <v>4.5450627444438202E-2</v>
      </c>
      <c r="K42" s="8">
        <f t="shared" si="2"/>
        <v>1.3424601169793888</v>
      </c>
      <c r="L42" t="s">
        <v>498</v>
      </c>
      <c r="M42">
        <v>974</v>
      </c>
      <c r="N42">
        <v>74</v>
      </c>
      <c r="O42">
        <v>21944</v>
      </c>
      <c r="P42">
        <v>2.4356512570064899</v>
      </c>
      <c r="Q42">
        <v>1</v>
      </c>
      <c r="R42">
        <v>1</v>
      </c>
      <c r="S42">
        <v>1</v>
      </c>
    </row>
    <row r="43" spans="1:19" x14ac:dyDescent="0.2">
      <c r="A43" t="s">
        <v>15</v>
      </c>
      <c r="B43" t="s">
        <v>641</v>
      </c>
      <c r="C43" t="s">
        <v>642</v>
      </c>
      <c r="D43" t="str">
        <f t="shared" si="0"/>
        <v>"cilium assembly",</v>
      </c>
      <c r="E43" t="s">
        <v>350</v>
      </c>
      <c r="F43" t="s">
        <v>596</v>
      </c>
      <c r="G43" t="str">
        <f t="shared" si="1"/>
        <v>"#7f6333",</v>
      </c>
      <c r="H43">
        <v>20</v>
      </c>
      <c r="I43">
        <v>1.8115942028985501</v>
      </c>
      <c r="J43">
        <v>4.5934409755923597E-2</v>
      </c>
      <c r="K43" s="8">
        <f t="shared" si="2"/>
        <v>1.3378618598132164</v>
      </c>
      <c r="L43" t="s">
        <v>499</v>
      </c>
      <c r="M43">
        <v>974</v>
      </c>
      <c r="N43">
        <v>281</v>
      </c>
      <c r="O43">
        <v>21944</v>
      </c>
      <c r="P43">
        <v>1.60354264251317</v>
      </c>
      <c r="Q43">
        <v>1</v>
      </c>
      <c r="R43">
        <v>1</v>
      </c>
      <c r="S43">
        <v>1</v>
      </c>
    </row>
    <row r="44" spans="1:19" x14ac:dyDescent="0.2">
      <c r="A44" t="s">
        <v>15</v>
      </c>
      <c r="B44" t="s">
        <v>803</v>
      </c>
      <c r="C44" t="s">
        <v>804</v>
      </c>
      <c r="D44" t="str">
        <f t="shared" si="0"/>
        <v>"activation of GTPase activity",</v>
      </c>
      <c r="E44" t="s">
        <v>350</v>
      </c>
      <c r="F44" t="s">
        <v>596</v>
      </c>
      <c r="G44" t="str">
        <f t="shared" si="1"/>
        <v>"#7f6333",</v>
      </c>
      <c r="H44">
        <v>7</v>
      </c>
      <c r="I44">
        <v>0.63405797101449202</v>
      </c>
      <c r="J44">
        <v>4.5978616758862903E-2</v>
      </c>
      <c r="K44" s="8">
        <f t="shared" si="2"/>
        <v>1.3374440983783811</v>
      </c>
      <c r="L44" t="s">
        <v>500</v>
      </c>
      <c r="M44">
        <v>974</v>
      </c>
      <c r="N44">
        <v>59</v>
      </c>
      <c r="O44">
        <v>21944</v>
      </c>
      <c r="P44">
        <v>2.6730240490028798</v>
      </c>
      <c r="Q44">
        <v>1</v>
      </c>
      <c r="R44">
        <v>1</v>
      </c>
      <c r="S44">
        <v>1</v>
      </c>
    </row>
    <row r="45" spans="1:19" x14ac:dyDescent="0.2">
      <c r="A45" t="s">
        <v>15</v>
      </c>
      <c r="B45" t="s">
        <v>635</v>
      </c>
      <c r="C45" t="s">
        <v>636</v>
      </c>
      <c r="D45" t="str">
        <f t="shared" si="0"/>
        <v>"axon extension involved in axon guidance",</v>
      </c>
      <c r="E45" t="s">
        <v>350</v>
      </c>
      <c r="F45" t="s">
        <v>596</v>
      </c>
      <c r="G45" t="str">
        <f t="shared" si="1"/>
        <v>"#7f6333",</v>
      </c>
      <c r="H45">
        <v>3</v>
      </c>
      <c r="I45">
        <v>0.27173913043478198</v>
      </c>
      <c r="J45">
        <v>4.6030404483188798E-2</v>
      </c>
      <c r="K45" s="8">
        <f t="shared" si="2"/>
        <v>1.3369552088113243</v>
      </c>
      <c r="L45" t="s">
        <v>131</v>
      </c>
      <c r="M45">
        <v>974</v>
      </c>
      <c r="N45">
        <v>8</v>
      </c>
      <c r="O45">
        <v>21944</v>
      </c>
      <c r="P45">
        <v>8.44866529774127</v>
      </c>
      <c r="Q45">
        <v>1</v>
      </c>
      <c r="R45">
        <v>1</v>
      </c>
      <c r="S45">
        <v>1</v>
      </c>
    </row>
    <row r="46" spans="1:19" x14ac:dyDescent="0.2">
      <c r="A46" t="s">
        <v>15</v>
      </c>
      <c r="B46" t="s">
        <v>707</v>
      </c>
      <c r="C46" t="s">
        <v>708</v>
      </c>
      <c r="D46" t="str">
        <f t="shared" si="0"/>
        <v>"sprouting angiogenesis",</v>
      </c>
      <c r="E46" t="s">
        <v>350</v>
      </c>
      <c r="F46" t="s">
        <v>596</v>
      </c>
      <c r="G46" t="str">
        <f t="shared" si="1"/>
        <v>"#7f6333",</v>
      </c>
      <c r="H46">
        <v>11</v>
      </c>
      <c r="I46">
        <v>0.99637681159420199</v>
      </c>
      <c r="J46">
        <v>4.6923067080742099E-2</v>
      </c>
      <c r="K46" s="8">
        <f t="shared" si="2"/>
        <v>1.328613608391378</v>
      </c>
      <c r="L46" t="s">
        <v>501</v>
      </c>
      <c r="M46">
        <v>974</v>
      </c>
      <c r="N46">
        <v>123</v>
      </c>
      <c r="O46">
        <v>21944</v>
      </c>
      <c r="P46">
        <v>2.0148578487838198</v>
      </c>
      <c r="Q46">
        <v>1</v>
      </c>
      <c r="R46">
        <v>1</v>
      </c>
      <c r="S46">
        <v>1</v>
      </c>
    </row>
    <row r="47" spans="1:19" x14ac:dyDescent="0.2">
      <c r="A47" t="s">
        <v>15</v>
      </c>
      <c r="B47" t="s">
        <v>805</v>
      </c>
      <c r="C47" t="s">
        <v>806</v>
      </c>
      <c r="D47" t="str">
        <f t="shared" si="0"/>
        <v>"cardiac muscle tissue development",</v>
      </c>
      <c r="E47" t="s">
        <v>350</v>
      </c>
      <c r="F47" t="s">
        <v>596</v>
      </c>
      <c r="G47" t="str">
        <f t="shared" si="1"/>
        <v>"#7f6333",</v>
      </c>
      <c r="H47">
        <v>4</v>
      </c>
      <c r="I47">
        <v>0.36231884057970998</v>
      </c>
      <c r="J47">
        <v>4.9578627206253403E-2</v>
      </c>
      <c r="K47" s="8">
        <f t="shared" si="2"/>
        <v>1.3047055026791892</v>
      </c>
      <c r="L47" t="s">
        <v>502</v>
      </c>
      <c r="M47">
        <v>974</v>
      </c>
      <c r="N47">
        <v>19</v>
      </c>
      <c r="O47">
        <v>21944</v>
      </c>
      <c r="P47">
        <v>4.7431103425915904</v>
      </c>
      <c r="Q47">
        <v>1</v>
      </c>
      <c r="R47">
        <v>1</v>
      </c>
      <c r="S47">
        <v>1</v>
      </c>
    </row>
    <row r="48" spans="1:19" x14ac:dyDescent="0.2">
      <c r="A48" s="5" t="s">
        <v>15</v>
      </c>
      <c r="B48" s="5" t="s">
        <v>409</v>
      </c>
      <c r="C48" s="5" t="s">
        <v>410</v>
      </c>
      <c r="D48" s="5" t="str">
        <f t="shared" si="0"/>
        <v>"fibroblast growth factor receptor signaling pathway",</v>
      </c>
      <c r="E48" s="5" t="s">
        <v>350</v>
      </c>
      <c r="F48" s="5" t="s">
        <v>596</v>
      </c>
      <c r="G48" s="5" t="str">
        <f t="shared" si="1"/>
        <v>"#7f6333",</v>
      </c>
      <c r="H48" s="5">
        <v>6</v>
      </c>
      <c r="I48" s="5">
        <v>0.54347826086956497</v>
      </c>
      <c r="J48" s="5">
        <v>5.1939675060684101E-2</v>
      </c>
      <c r="K48" s="9">
        <f t="shared" si="2"/>
        <v>1.2845007716838681</v>
      </c>
      <c r="L48" s="5" t="s">
        <v>503</v>
      </c>
      <c r="M48" s="5">
        <v>974</v>
      </c>
      <c r="N48" s="5">
        <v>46</v>
      </c>
      <c r="O48" s="5">
        <v>21944</v>
      </c>
      <c r="P48" s="5">
        <v>2.9386661905186999</v>
      </c>
      <c r="Q48" s="5">
        <v>1</v>
      </c>
      <c r="R48" s="5">
        <v>1</v>
      </c>
      <c r="S48" s="5">
        <v>1</v>
      </c>
    </row>
    <row r="49" spans="1:19" x14ac:dyDescent="0.2">
      <c r="A49" s="5" t="s">
        <v>15</v>
      </c>
      <c r="B49" s="5" t="s">
        <v>807</v>
      </c>
      <c r="C49" s="5" t="s">
        <v>808</v>
      </c>
      <c r="D49" s="5" t="str">
        <f t="shared" si="0"/>
        <v>"tricarboxylic acid cycle",</v>
      </c>
      <c r="E49" s="5" t="s">
        <v>350</v>
      </c>
      <c r="F49" s="5" t="s">
        <v>596</v>
      </c>
      <c r="G49" s="5" t="str">
        <f t="shared" si="1"/>
        <v>"#7f6333",</v>
      </c>
      <c r="H49" s="5">
        <v>5</v>
      </c>
      <c r="I49" s="5">
        <v>0.45289855072463697</v>
      </c>
      <c r="J49" s="5">
        <v>5.67335493292375E-2</v>
      </c>
      <c r="K49" s="9">
        <f t="shared" si="2"/>
        <v>1.2461600455224906</v>
      </c>
      <c r="L49" s="5" t="s">
        <v>504</v>
      </c>
      <c r="M49" s="5">
        <v>974</v>
      </c>
      <c r="N49" s="5">
        <v>33</v>
      </c>
      <c r="O49" s="5">
        <v>21944</v>
      </c>
      <c r="P49" s="5">
        <v>3.4136021405015202</v>
      </c>
      <c r="Q49" s="5">
        <v>1</v>
      </c>
      <c r="R49" s="5">
        <v>1</v>
      </c>
      <c r="S49" s="5">
        <v>1</v>
      </c>
    </row>
    <row r="50" spans="1:19" x14ac:dyDescent="0.2">
      <c r="A50" s="5" t="s">
        <v>15</v>
      </c>
      <c r="B50" s="5" t="s">
        <v>809</v>
      </c>
      <c r="C50" s="5" t="s">
        <v>810</v>
      </c>
      <c r="D50" s="5" t="str">
        <f t="shared" si="0"/>
        <v>"exocyst localization",</v>
      </c>
      <c r="E50" s="5" t="s">
        <v>350</v>
      </c>
      <c r="F50" s="5" t="s">
        <v>596</v>
      </c>
      <c r="G50" s="5" t="str">
        <f t="shared" si="1"/>
        <v>"#7f6333",</v>
      </c>
      <c r="H50" s="5">
        <v>3</v>
      </c>
      <c r="I50" s="5">
        <v>0.27173913043478198</v>
      </c>
      <c r="J50" s="5">
        <v>5.7476004158218803E-2</v>
      </c>
      <c r="K50" s="9">
        <f t="shared" si="2"/>
        <v>1.240513432471666</v>
      </c>
      <c r="L50" s="5" t="s">
        <v>505</v>
      </c>
      <c r="M50" s="5">
        <v>974</v>
      </c>
      <c r="N50" s="5">
        <v>9</v>
      </c>
      <c r="O50" s="5">
        <v>21944</v>
      </c>
      <c r="P50" s="5">
        <v>7.5099247091033501</v>
      </c>
      <c r="Q50" s="5">
        <v>1</v>
      </c>
      <c r="R50" s="5">
        <v>1</v>
      </c>
      <c r="S50" s="5">
        <v>1</v>
      </c>
    </row>
    <row r="51" spans="1:19" x14ac:dyDescent="0.2">
      <c r="A51" s="5" t="s">
        <v>15</v>
      </c>
      <c r="B51" s="5" t="s">
        <v>811</v>
      </c>
      <c r="C51" s="5" t="s">
        <v>812</v>
      </c>
      <c r="D51" s="5" t="str">
        <f t="shared" si="0"/>
        <v>"regulation of cell cycle",</v>
      </c>
      <c r="E51" s="5" t="s">
        <v>350</v>
      </c>
      <c r="F51" s="5" t="s">
        <v>596</v>
      </c>
      <c r="G51" s="5" t="str">
        <f t="shared" si="1"/>
        <v>"#7f6333",</v>
      </c>
      <c r="H51" s="5">
        <v>9</v>
      </c>
      <c r="I51" s="5">
        <v>0.81521739130434701</v>
      </c>
      <c r="J51" s="5">
        <v>6.0023306409436802E-2</v>
      </c>
      <c r="K51" s="9">
        <f t="shared" si="2"/>
        <v>1.2216800849554434</v>
      </c>
      <c r="L51" s="5" t="s">
        <v>506</v>
      </c>
      <c r="M51" s="5">
        <v>974</v>
      </c>
      <c r="N51" s="5">
        <v>95</v>
      </c>
      <c r="O51" s="5">
        <v>21944</v>
      </c>
      <c r="P51" s="5">
        <v>2.1343996541662098</v>
      </c>
      <c r="Q51" s="5">
        <v>1</v>
      </c>
      <c r="R51" s="5">
        <v>1</v>
      </c>
      <c r="S51" s="5">
        <v>1</v>
      </c>
    </row>
    <row r="52" spans="1:19" x14ac:dyDescent="0.2">
      <c r="A52" s="5" t="s">
        <v>15</v>
      </c>
      <c r="B52" s="5" t="s">
        <v>813</v>
      </c>
      <c r="C52" s="5" t="s">
        <v>814</v>
      </c>
      <c r="D52" s="5" t="str">
        <f t="shared" si="0"/>
        <v>"hippo signaling",</v>
      </c>
      <c r="E52" s="5" t="s">
        <v>350</v>
      </c>
      <c r="F52" s="5" t="s">
        <v>596</v>
      </c>
      <c r="G52" s="5" t="str">
        <f t="shared" si="1"/>
        <v>"#7f6333",</v>
      </c>
      <c r="H52" s="5">
        <v>4</v>
      </c>
      <c r="I52" s="5">
        <v>0.36231884057970998</v>
      </c>
      <c r="J52" s="5">
        <v>6.3783147409741905E-2</v>
      </c>
      <c r="K52" s="9">
        <f t="shared" si="2"/>
        <v>1.1952940540965495</v>
      </c>
      <c r="L52" s="5" t="s">
        <v>507</v>
      </c>
      <c r="M52" s="5">
        <v>974</v>
      </c>
      <c r="N52" s="5">
        <v>21</v>
      </c>
      <c r="O52" s="5">
        <v>21944</v>
      </c>
      <c r="P52" s="5">
        <v>4.2913855480590497</v>
      </c>
      <c r="Q52" s="5">
        <v>1</v>
      </c>
      <c r="R52" s="5">
        <v>1</v>
      </c>
      <c r="S52" s="5">
        <v>1</v>
      </c>
    </row>
    <row r="53" spans="1:19" x14ac:dyDescent="0.2">
      <c r="A53" s="5" t="s">
        <v>15</v>
      </c>
      <c r="B53" s="5" t="s">
        <v>815</v>
      </c>
      <c r="C53" s="5" t="s">
        <v>816</v>
      </c>
      <c r="D53" s="5" t="str">
        <f t="shared" si="0"/>
        <v>"vesicle transport along actin filament",</v>
      </c>
      <c r="E53" s="5" t="s">
        <v>350</v>
      </c>
      <c r="F53" s="5" t="s">
        <v>596</v>
      </c>
      <c r="G53" s="5" t="str">
        <f t="shared" si="1"/>
        <v>"#7f6333",</v>
      </c>
      <c r="H53" s="5">
        <v>4</v>
      </c>
      <c r="I53" s="5">
        <v>0.36231884057970998</v>
      </c>
      <c r="J53" s="5">
        <v>6.3783147409741905E-2</v>
      </c>
      <c r="K53" s="9">
        <f t="shared" si="2"/>
        <v>1.1952940540965495</v>
      </c>
      <c r="L53" s="5" t="s">
        <v>508</v>
      </c>
      <c r="M53" s="5">
        <v>974</v>
      </c>
      <c r="N53" s="5">
        <v>21</v>
      </c>
      <c r="O53" s="5">
        <v>21944</v>
      </c>
      <c r="P53" s="5">
        <v>4.2913855480590497</v>
      </c>
      <c r="Q53" s="5">
        <v>1</v>
      </c>
      <c r="R53" s="5">
        <v>1</v>
      </c>
      <c r="S53" s="5">
        <v>1</v>
      </c>
    </row>
    <row r="54" spans="1:19" x14ac:dyDescent="0.2">
      <c r="A54" s="5" t="s">
        <v>15</v>
      </c>
      <c r="B54" s="5" t="s">
        <v>661</v>
      </c>
      <c r="C54" s="5" t="s">
        <v>662</v>
      </c>
      <c r="D54" s="5" t="str">
        <f t="shared" si="0"/>
        <v>"synaptic transmission, glutamatergic",</v>
      </c>
      <c r="E54" s="5" t="s">
        <v>350</v>
      </c>
      <c r="F54" s="5" t="s">
        <v>596</v>
      </c>
      <c r="G54" s="5" t="str">
        <f t="shared" si="1"/>
        <v>"#7f6333",</v>
      </c>
      <c r="H54" s="5">
        <v>6</v>
      </c>
      <c r="I54" s="5">
        <v>0.54347826086956497</v>
      </c>
      <c r="J54" s="5">
        <v>6.9669070041669695E-2</v>
      </c>
      <c r="K54" s="9">
        <f t="shared" si="2"/>
        <v>1.1569599864866271</v>
      </c>
      <c r="L54" s="5" t="s">
        <v>509</v>
      </c>
      <c r="M54" s="5">
        <v>974</v>
      </c>
      <c r="N54" s="5">
        <v>50</v>
      </c>
      <c r="O54" s="5">
        <v>21944</v>
      </c>
      <c r="P54" s="5">
        <v>2.7035728952771998</v>
      </c>
      <c r="Q54" s="5">
        <v>1</v>
      </c>
      <c r="R54" s="5">
        <v>1</v>
      </c>
      <c r="S54" s="5">
        <v>1</v>
      </c>
    </row>
    <row r="55" spans="1:19" x14ac:dyDescent="0.2">
      <c r="A55" s="5" t="s">
        <v>15</v>
      </c>
      <c r="B55" s="5" t="s">
        <v>817</v>
      </c>
      <c r="C55" s="5" t="s">
        <v>818</v>
      </c>
      <c r="D55" s="5" t="str">
        <f t="shared" si="0"/>
        <v>"regulation of Arp2/3 complex-mediated actin nucleation",</v>
      </c>
      <c r="E55" s="5" t="s">
        <v>350</v>
      </c>
      <c r="F55" s="5" t="s">
        <v>596</v>
      </c>
      <c r="G55" s="5" t="str">
        <f t="shared" si="1"/>
        <v>"#7f6333",</v>
      </c>
      <c r="H55" s="5">
        <v>3</v>
      </c>
      <c r="I55" s="5">
        <v>0.27173913043478198</v>
      </c>
      <c r="J55" s="5">
        <v>6.9782306668735194E-2</v>
      </c>
      <c r="K55" s="9">
        <f t="shared" si="2"/>
        <v>1.1562546789557473</v>
      </c>
      <c r="L55" s="5" t="s">
        <v>510</v>
      </c>
      <c r="M55" s="5">
        <v>974</v>
      </c>
      <c r="N55" s="5">
        <v>10</v>
      </c>
      <c r="O55" s="5">
        <v>21944</v>
      </c>
      <c r="P55" s="5">
        <v>6.7589322381930099</v>
      </c>
      <c r="Q55" s="5">
        <v>1</v>
      </c>
      <c r="R55" s="5">
        <v>1</v>
      </c>
      <c r="S55" s="5">
        <v>1</v>
      </c>
    </row>
    <row r="56" spans="1:19" x14ac:dyDescent="0.2">
      <c r="A56" s="5" t="s">
        <v>15</v>
      </c>
      <c r="B56" s="5" t="s">
        <v>819</v>
      </c>
      <c r="C56" s="5" t="s">
        <v>820</v>
      </c>
      <c r="D56" s="5" t="str">
        <f t="shared" si="0"/>
        <v>"gamma-aminobutyric acid signaling pathway",</v>
      </c>
      <c r="E56" s="5" t="s">
        <v>350</v>
      </c>
      <c r="F56" s="5" t="s">
        <v>596</v>
      </c>
      <c r="G56" s="5" t="str">
        <f t="shared" si="1"/>
        <v>"#7f6333",</v>
      </c>
      <c r="H56" s="5">
        <v>4</v>
      </c>
      <c r="I56" s="5">
        <v>0.36231884057970998</v>
      </c>
      <c r="J56" s="5">
        <v>7.1511104578324505E-2</v>
      </c>
      <c r="K56" s="9">
        <f t="shared" si="2"/>
        <v>1.1456265136866333</v>
      </c>
      <c r="L56" s="5" t="s">
        <v>511</v>
      </c>
      <c r="M56" s="5">
        <v>974</v>
      </c>
      <c r="N56" s="5">
        <v>22</v>
      </c>
      <c r="O56" s="5">
        <v>21944</v>
      </c>
      <c r="P56" s="5">
        <v>4.0963225686018303</v>
      </c>
      <c r="Q56" s="5">
        <v>1</v>
      </c>
      <c r="R56" s="5">
        <v>1</v>
      </c>
      <c r="S56" s="5">
        <v>1</v>
      </c>
    </row>
    <row r="57" spans="1:19" x14ac:dyDescent="0.2">
      <c r="A57" s="5" t="s">
        <v>15</v>
      </c>
      <c r="B57" s="5" t="s">
        <v>821</v>
      </c>
      <c r="C57" s="5" t="s">
        <v>822</v>
      </c>
      <c r="D57" s="5" t="str">
        <f t="shared" si="0"/>
        <v>"heart morphogenesis",</v>
      </c>
      <c r="E57" s="5" t="s">
        <v>350</v>
      </c>
      <c r="F57" s="5" t="s">
        <v>596</v>
      </c>
      <c r="G57" s="5" t="str">
        <f t="shared" si="1"/>
        <v>"#7f6333",</v>
      </c>
      <c r="H57" s="5">
        <v>7</v>
      </c>
      <c r="I57" s="5">
        <v>0.63405797101449202</v>
      </c>
      <c r="J57" s="5">
        <v>7.1866578287292496E-2</v>
      </c>
      <c r="K57" s="9">
        <f t="shared" si="2"/>
        <v>1.1434730322870317</v>
      </c>
      <c r="L57" s="5" t="s">
        <v>512</v>
      </c>
      <c r="M57" s="5">
        <v>974</v>
      </c>
      <c r="N57" s="5">
        <v>66</v>
      </c>
      <c r="O57" s="5">
        <v>21944</v>
      </c>
      <c r="P57" s="5">
        <v>2.3895214983510602</v>
      </c>
      <c r="Q57" s="5">
        <v>1</v>
      </c>
      <c r="R57" s="5">
        <v>1</v>
      </c>
      <c r="S57" s="5">
        <v>1</v>
      </c>
    </row>
    <row r="58" spans="1:19" x14ac:dyDescent="0.2">
      <c r="A58" s="5" t="s">
        <v>15</v>
      </c>
      <c r="B58" s="5" t="s">
        <v>823</v>
      </c>
      <c r="C58" s="5" t="s">
        <v>824</v>
      </c>
      <c r="D58" s="5" t="str">
        <f t="shared" si="0"/>
        <v>"heart jogging",</v>
      </c>
      <c r="E58" s="5" t="s">
        <v>350</v>
      </c>
      <c r="F58" s="5" t="s">
        <v>596</v>
      </c>
      <c r="G58" s="5" t="str">
        <f t="shared" si="1"/>
        <v>"#7f6333",</v>
      </c>
      <c r="H58" s="5">
        <v>5</v>
      </c>
      <c r="I58" s="5">
        <v>0.45289855072463697</v>
      </c>
      <c r="J58" s="5">
        <v>7.3718870876020998E-2</v>
      </c>
      <c r="K58" s="9">
        <f t="shared" si="2"/>
        <v>1.1324213253258459</v>
      </c>
      <c r="L58" s="5" t="s">
        <v>513</v>
      </c>
      <c r="M58" s="5">
        <v>974</v>
      </c>
      <c r="N58" s="5">
        <v>36</v>
      </c>
      <c r="O58" s="5">
        <v>21944</v>
      </c>
      <c r="P58" s="5">
        <v>3.1291352954597298</v>
      </c>
      <c r="Q58" s="5">
        <v>1</v>
      </c>
      <c r="R58" s="5">
        <v>1</v>
      </c>
      <c r="S58" s="5">
        <v>1</v>
      </c>
    </row>
    <row r="59" spans="1:19" x14ac:dyDescent="0.2">
      <c r="A59" s="5" t="s">
        <v>15</v>
      </c>
      <c r="B59" s="5" t="s">
        <v>725</v>
      </c>
      <c r="C59" s="5" t="s">
        <v>726</v>
      </c>
      <c r="D59" s="5" t="str">
        <f t="shared" si="0"/>
        <v>"cell migration",</v>
      </c>
      <c r="E59" s="5" t="s">
        <v>350</v>
      </c>
      <c r="F59" s="5" t="s">
        <v>596</v>
      </c>
      <c r="G59" s="5" t="str">
        <f t="shared" si="1"/>
        <v>"#7f6333",</v>
      </c>
      <c r="H59" s="5">
        <v>14</v>
      </c>
      <c r="I59" s="5">
        <v>1.26811594202898</v>
      </c>
      <c r="J59" s="5">
        <v>7.5794101964989799E-2</v>
      </c>
      <c r="K59" s="9">
        <f t="shared" si="2"/>
        <v>1.1203645883484126</v>
      </c>
      <c r="L59" s="5" t="s">
        <v>514</v>
      </c>
      <c r="M59" s="5">
        <v>974</v>
      </c>
      <c r="N59" s="5">
        <v>188</v>
      </c>
      <c r="O59" s="5">
        <v>21944</v>
      </c>
      <c r="P59" s="5">
        <v>1.6777491371401101</v>
      </c>
      <c r="Q59" s="5">
        <v>1</v>
      </c>
      <c r="R59" s="5">
        <v>1</v>
      </c>
      <c r="S59" s="5">
        <v>1</v>
      </c>
    </row>
    <row r="60" spans="1:19" x14ac:dyDescent="0.2">
      <c r="A60" s="5" t="s">
        <v>15</v>
      </c>
      <c r="B60" s="5" t="s">
        <v>825</v>
      </c>
      <c r="C60" s="5" t="s">
        <v>826</v>
      </c>
      <c r="D60" s="5" t="str">
        <f t="shared" si="0"/>
        <v>"endoderm development",</v>
      </c>
      <c r="E60" s="5" t="s">
        <v>350</v>
      </c>
      <c r="F60" s="5" t="s">
        <v>596</v>
      </c>
      <c r="G60" s="5" t="str">
        <f t="shared" si="1"/>
        <v>"#7f6333",</v>
      </c>
      <c r="H60" s="5">
        <v>4</v>
      </c>
      <c r="I60" s="5">
        <v>0.36231884057970998</v>
      </c>
      <c r="J60" s="5">
        <v>7.9635717953413399E-2</v>
      </c>
      <c r="K60" s="9">
        <f t="shared" si="2"/>
        <v>1.0988921002167089</v>
      </c>
      <c r="L60" s="5" t="s">
        <v>515</v>
      </c>
      <c r="M60" s="5">
        <v>974</v>
      </c>
      <c r="N60" s="5">
        <v>23</v>
      </c>
      <c r="O60" s="5">
        <v>21944</v>
      </c>
      <c r="P60" s="5">
        <v>3.91822158735827</v>
      </c>
      <c r="Q60" s="5">
        <v>1</v>
      </c>
      <c r="R60" s="5">
        <v>1</v>
      </c>
      <c r="S60" s="5">
        <v>1</v>
      </c>
    </row>
    <row r="61" spans="1:19" x14ac:dyDescent="0.2">
      <c r="A61" s="5" t="s">
        <v>15</v>
      </c>
      <c r="B61" s="5" t="s">
        <v>827</v>
      </c>
      <c r="C61" s="5" t="s">
        <v>828</v>
      </c>
      <c r="D61" s="5" t="str">
        <f t="shared" si="0"/>
        <v>"transcription by RNA polymerase I",</v>
      </c>
      <c r="E61" s="5" t="s">
        <v>350</v>
      </c>
      <c r="F61" s="5" t="s">
        <v>596</v>
      </c>
      <c r="G61" s="5" t="str">
        <f t="shared" si="1"/>
        <v>"#7f6333",</v>
      </c>
      <c r="H61" s="5">
        <v>3</v>
      </c>
      <c r="I61" s="5">
        <v>0.27173913043478198</v>
      </c>
      <c r="J61" s="5">
        <v>8.2850654109022495E-2</v>
      </c>
      <c r="K61" s="9">
        <f t="shared" si="2"/>
        <v>1.0817040584598812</v>
      </c>
      <c r="L61" s="5" t="s">
        <v>516</v>
      </c>
      <c r="M61" s="5">
        <v>974</v>
      </c>
      <c r="N61" s="5">
        <v>11</v>
      </c>
      <c r="O61" s="5">
        <v>21944</v>
      </c>
      <c r="P61" s="5">
        <v>6.1444838529027397</v>
      </c>
      <c r="Q61" s="5">
        <v>1</v>
      </c>
      <c r="R61" s="5">
        <v>1</v>
      </c>
      <c r="S61" s="5">
        <v>1</v>
      </c>
    </row>
    <row r="62" spans="1:19" x14ac:dyDescent="0.2">
      <c r="A62" s="5" t="s">
        <v>15</v>
      </c>
      <c r="B62" s="5" t="s">
        <v>829</v>
      </c>
      <c r="C62" s="5" t="s">
        <v>830</v>
      </c>
      <c r="D62" s="5" t="str">
        <f t="shared" si="0"/>
        <v>"peptidyl-threonine dephosphorylation",</v>
      </c>
      <c r="E62" s="5" t="s">
        <v>350</v>
      </c>
      <c r="F62" s="5" t="s">
        <v>596</v>
      </c>
      <c r="G62" s="5" t="str">
        <f t="shared" si="1"/>
        <v>"#7f6333",</v>
      </c>
      <c r="H62" s="5">
        <v>3</v>
      </c>
      <c r="I62" s="5">
        <v>0.27173913043478198</v>
      </c>
      <c r="J62" s="5">
        <v>8.2850654109022495E-2</v>
      </c>
      <c r="K62" s="9">
        <f t="shared" si="2"/>
        <v>1.0817040584598812</v>
      </c>
      <c r="L62" s="5" t="s">
        <v>517</v>
      </c>
      <c r="M62" s="5">
        <v>974</v>
      </c>
      <c r="N62" s="5">
        <v>11</v>
      </c>
      <c r="O62" s="5">
        <v>21944</v>
      </c>
      <c r="P62" s="5">
        <v>6.1444838529027397</v>
      </c>
      <c r="Q62" s="5">
        <v>1</v>
      </c>
      <c r="R62" s="5">
        <v>1</v>
      </c>
      <c r="S62" s="5">
        <v>1</v>
      </c>
    </row>
    <row r="63" spans="1:19" x14ac:dyDescent="0.2">
      <c r="A63" s="5" t="s">
        <v>15</v>
      </c>
      <c r="B63" s="5" t="s">
        <v>831</v>
      </c>
      <c r="C63" s="5" t="s">
        <v>832</v>
      </c>
      <c r="D63" s="5" t="str">
        <f t="shared" si="0"/>
        <v>"protein transport",</v>
      </c>
      <c r="E63" s="5" t="s">
        <v>350</v>
      </c>
      <c r="F63" s="5" t="s">
        <v>596</v>
      </c>
      <c r="G63" s="5" t="str">
        <f t="shared" si="1"/>
        <v>"#7f6333",</v>
      </c>
      <c r="H63" s="5">
        <v>25</v>
      </c>
      <c r="I63" s="5">
        <v>2.26449275362318</v>
      </c>
      <c r="J63" s="5">
        <v>8.3690642006289798E-2</v>
      </c>
      <c r="K63" s="9">
        <f t="shared" si="2"/>
        <v>1.0773231005759114</v>
      </c>
      <c r="L63" s="5" t="s">
        <v>518</v>
      </c>
      <c r="M63" s="5">
        <v>974</v>
      </c>
      <c r="N63" s="5">
        <v>400</v>
      </c>
      <c r="O63" s="5">
        <v>21944</v>
      </c>
      <c r="P63" s="5">
        <v>1.40811088295687</v>
      </c>
      <c r="Q63" s="5">
        <v>1</v>
      </c>
      <c r="R63" s="5">
        <v>1</v>
      </c>
      <c r="S63" s="5">
        <v>1</v>
      </c>
    </row>
    <row r="64" spans="1:19" x14ac:dyDescent="0.2">
      <c r="A64" s="5" t="s">
        <v>15</v>
      </c>
      <c r="B64" s="5" t="s">
        <v>833</v>
      </c>
      <c r="C64" s="5" t="s">
        <v>834</v>
      </c>
      <c r="D64" s="5" t="str">
        <f t="shared" si="0"/>
        <v>"peptidyl-arginine methylation, to symmetrical-dimethyl arginine",</v>
      </c>
      <c r="E64" s="5" t="s">
        <v>350</v>
      </c>
      <c r="F64" s="5" t="s">
        <v>596</v>
      </c>
      <c r="G64" s="5" t="str">
        <f t="shared" si="1"/>
        <v>"#7f6333",</v>
      </c>
      <c r="H64" s="5">
        <v>2</v>
      </c>
      <c r="I64" s="5">
        <v>0.18115942028985499</v>
      </c>
      <c r="J64" s="5">
        <v>8.6716160281679902E-2</v>
      </c>
      <c r="K64" s="9">
        <f t="shared" si="2"/>
        <v>1.0618999605727224</v>
      </c>
      <c r="L64" s="5" t="s">
        <v>519</v>
      </c>
      <c r="M64" s="5">
        <v>974</v>
      </c>
      <c r="N64" s="5">
        <v>2</v>
      </c>
      <c r="O64" s="5">
        <v>21944</v>
      </c>
      <c r="P64" s="5">
        <v>22.529774127309999</v>
      </c>
      <c r="Q64" s="5">
        <v>1</v>
      </c>
      <c r="R64" s="5">
        <v>1</v>
      </c>
      <c r="S64" s="5">
        <v>1</v>
      </c>
    </row>
    <row r="65" spans="1:19" x14ac:dyDescent="0.2">
      <c r="A65" s="5" t="s">
        <v>15</v>
      </c>
      <c r="B65" s="5" t="s">
        <v>835</v>
      </c>
      <c r="C65" s="5" t="s">
        <v>836</v>
      </c>
      <c r="D65" s="5" t="str">
        <f t="shared" si="0"/>
        <v>"ERK1 and ERK2 cascade",</v>
      </c>
      <c r="E65" s="5" t="s">
        <v>350</v>
      </c>
      <c r="F65" s="5" t="s">
        <v>596</v>
      </c>
      <c r="G65" s="5" t="str">
        <f t="shared" si="1"/>
        <v>"#7f6333",</v>
      </c>
      <c r="H65" s="5">
        <v>2</v>
      </c>
      <c r="I65" s="5">
        <v>0.18115942028985499</v>
      </c>
      <c r="J65" s="5">
        <v>8.6716160281679902E-2</v>
      </c>
      <c r="K65" s="9">
        <f t="shared" si="2"/>
        <v>1.0618999605727224</v>
      </c>
      <c r="L65" s="5" t="s">
        <v>520</v>
      </c>
      <c r="M65" s="5">
        <v>974</v>
      </c>
      <c r="N65" s="5">
        <v>2</v>
      </c>
      <c r="O65" s="5">
        <v>21944</v>
      </c>
      <c r="P65" s="5">
        <v>22.529774127309999</v>
      </c>
      <c r="Q65" s="5">
        <v>1</v>
      </c>
      <c r="R65" s="5">
        <v>1</v>
      </c>
      <c r="S65" s="5">
        <v>1</v>
      </c>
    </row>
    <row r="66" spans="1:19" x14ac:dyDescent="0.2">
      <c r="A66" s="5" t="s">
        <v>15</v>
      </c>
      <c r="B66" s="5" t="s">
        <v>837</v>
      </c>
      <c r="C66" s="5" t="s">
        <v>838</v>
      </c>
      <c r="D66" s="5" t="str">
        <f t="shared" si="0"/>
        <v>"swimming behavior",</v>
      </c>
      <c r="E66" s="5" t="s">
        <v>350</v>
      </c>
      <c r="F66" s="5" t="s">
        <v>596</v>
      </c>
      <c r="G66" s="5" t="str">
        <f t="shared" si="1"/>
        <v>"#7f6333",</v>
      </c>
      <c r="H66" s="5">
        <v>8</v>
      </c>
      <c r="I66" s="5">
        <v>0.72463768115941996</v>
      </c>
      <c r="J66" s="5">
        <v>8.7036825175565699E-2</v>
      </c>
      <c r="K66" s="9">
        <f t="shared" si="2"/>
        <v>1.0602969590277862</v>
      </c>
      <c r="L66" s="5" t="s">
        <v>521</v>
      </c>
      <c r="M66" s="5">
        <v>974</v>
      </c>
      <c r="N66" s="5">
        <v>86</v>
      </c>
      <c r="O66" s="5">
        <v>21944</v>
      </c>
      <c r="P66" s="5">
        <v>2.0957929420753501</v>
      </c>
      <c r="Q66" s="5">
        <v>1</v>
      </c>
      <c r="R66" s="5">
        <v>1</v>
      </c>
      <c r="S66" s="5">
        <v>1</v>
      </c>
    </row>
    <row r="67" spans="1:19" x14ac:dyDescent="0.2">
      <c r="A67" s="5" t="s">
        <v>15</v>
      </c>
      <c r="B67" s="5" t="s">
        <v>421</v>
      </c>
      <c r="C67" s="5" t="s">
        <v>422</v>
      </c>
      <c r="D67" s="5" t="str">
        <f t="shared" ref="D67:D73" si="3">CHAR(34)&amp;C67&amp;CHAR(34)&amp;","</f>
        <v>"Kupffer's vesicle development",</v>
      </c>
      <c r="E67" s="5" t="s">
        <v>350</v>
      </c>
      <c r="F67" s="5" t="s">
        <v>596</v>
      </c>
      <c r="G67" s="5" t="str">
        <f t="shared" ref="G67:G73" si="4">CHAR(34)&amp;F67&amp;CHAR(34)&amp;","</f>
        <v>"#7f6333",</v>
      </c>
      <c r="H67" s="5">
        <v>8</v>
      </c>
      <c r="I67" s="5">
        <v>0.72463768115941996</v>
      </c>
      <c r="J67" s="5">
        <v>9.5549661989775006E-2</v>
      </c>
      <c r="K67" s="9">
        <f t="shared" ref="K67:K73" si="5">-(LOG(J67))</f>
        <v>1.0197708449379603</v>
      </c>
      <c r="L67" s="5" t="s">
        <v>522</v>
      </c>
      <c r="M67" s="5">
        <v>974</v>
      </c>
      <c r="N67" s="5">
        <v>88</v>
      </c>
      <c r="O67" s="5">
        <v>21944</v>
      </c>
      <c r="P67" s="5">
        <v>2.0481612843009098</v>
      </c>
      <c r="Q67" s="5">
        <v>1</v>
      </c>
      <c r="R67" s="5">
        <v>1</v>
      </c>
      <c r="S67" s="5">
        <v>1</v>
      </c>
    </row>
    <row r="68" spans="1:19" x14ac:dyDescent="0.2">
      <c r="A68" s="5" t="s">
        <v>15</v>
      </c>
      <c r="B68" s="5" t="s">
        <v>425</v>
      </c>
      <c r="C68" s="5" t="s">
        <v>426</v>
      </c>
      <c r="D68" s="5" t="str">
        <f t="shared" si="3"/>
        <v>"regulation of membrane potential",</v>
      </c>
      <c r="E68" s="5" t="s">
        <v>350</v>
      </c>
      <c r="F68" s="5" t="s">
        <v>596</v>
      </c>
      <c r="G68" s="5" t="str">
        <f t="shared" si="4"/>
        <v>"#7f6333",</v>
      </c>
      <c r="H68" s="5">
        <v>6</v>
      </c>
      <c r="I68" s="5">
        <v>0.54347826086956497</v>
      </c>
      <c r="J68" s="5">
        <v>9.5929980267858497E-2</v>
      </c>
      <c r="K68" s="9">
        <f t="shared" si="5"/>
        <v>1.0180456448614248</v>
      </c>
      <c r="L68" s="5" t="s">
        <v>523</v>
      </c>
      <c r="M68" s="5">
        <v>974</v>
      </c>
      <c r="N68" s="5">
        <v>55</v>
      </c>
      <c r="O68" s="5">
        <v>21944</v>
      </c>
      <c r="P68" s="5">
        <v>2.4577935411610898</v>
      </c>
      <c r="Q68" s="5">
        <v>1</v>
      </c>
      <c r="R68" s="5">
        <v>1</v>
      </c>
      <c r="S68" s="5">
        <v>1</v>
      </c>
    </row>
    <row r="69" spans="1:19" x14ac:dyDescent="0.2">
      <c r="A69" s="5" t="s">
        <v>15</v>
      </c>
      <c r="B69" s="5" t="s">
        <v>639</v>
      </c>
      <c r="C69" s="5" t="s">
        <v>640</v>
      </c>
      <c r="D69" s="5" t="str">
        <f t="shared" si="3"/>
        <v>"axis elongation",</v>
      </c>
      <c r="E69" s="5" t="s">
        <v>350</v>
      </c>
      <c r="F69" s="5" t="s">
        <v>596</v>
      </c>
      <c r="G69" s="5" t="str">
        <f t="shared" si="4"/>
        <v>"#7f6333",</v>
      </c>
      <c r="H69" s="5">
        <v>3</v>
      </c>
      <c r="I69" s="5">
        <v>0.27173913043478198</v>
      </c>
      <c r="J69" s="5">
        <v>9.6589429881470998E-2</v>
      </c>
      <c r="K69" s="9">
        <f t="shared" si="5"/>
        <v>1.0150703973455903</v>
      </c>
      <c r="L69" s="5" t="s">
        <v>134</v>
      </c>
      <c r="M69" s="5">
        <v>974</v>
      </c>
      <c r="N69" s="5">
        <v>12</v>
      </c>
      <c r="O69" s="5">
        <v>21944</v>
      </c>
      <c r="P69" s="5">
        <v>5.6324435318275103</v>
      </c>
      <c r="Q69" s="5">
        <v>1</v>
      </c>
      <c r="R69" s="5">
        <v>1</v>
      </c>
      <c r="S69" s="5">
        <v>1</v>
      </c>
    </row>
    <row r="70" spans="1:19" x14ac:dyDescent="0.2">
      <c r="A70" s="5" t="s">
        <v>15</v>
      </c>
      <c r="B70" s="5" t="s">
        <v>839</v>
      </c>
      <c r="C70" s="5" t="s">
        <v>840</v>
      </c>
      <c r="D70" s="5" t="str">
        <f t="shared" si="3"/>
        <v>"cellular component organization",</v>
      </c>
      <c r="E70" s="5" t="s">
        <v>350</v>
      </c>
      <c r="F70" s="5" t="s">
        <v>596</v>
      </c>
      <c r="G70" s="5" t="str">
        <f t="shared" si="4"/>
        <v>"#7f6333",</v>
      </c>
      <c r="H70" s="5">
        <v>3</v>
      </c>
      <c r="I70" s="5">
        <v>0.27173913043478198</v>
      </c>
      <c r="J70" s="5">
        <v>9.6589429881470998E-2</v>
      </c>
      <c r="K70" s="9">
        <f t="shared" si="5"/>
        <v>1.0150703973455903</v>
      </c>
      <c r="L70" s="5" t="s">
        <v>524</v>
      </c>
      <c r="M70" s="5">
        <v>974</v>
      </c>
      <c r="N70" s="5">
        <v>12</v>
      </c>
      <c r="O70" s="5">
        <v>21944</v>
      </c>
      <c r="P70" s="5">
        <v>5.6324435318275103</v>
      </c>
      <c r="Q70" s="5">
        <v>1</v>
      </c>
      <c r="R70" s="5">
        <v>1</v>
      </c>
      <c r="S70" s="5">
        <v>1</v>
      </c>
    </row>
    <row r="71" spans="1:19" x14ac:dyDescent="0.2">
      <c r="A71" s="5" t="s">
        <v>15</v>
      </c>
      <c r="B71" s="5" t="s">
        <v>701</v>
      </c>
      <c r="C71" s="5" t="s">
        <v>702</v>
      </c>
      <c r="D71" s="5" t="str">
        <f t="shared" si="3"/>
        <v>"long-term synaptic potentiation",</v>
      </c>
      <c r="E71" s="5" t="s">
        <v>350</v>
      </c>
      <c r="F71" s="5" t="s">
        <v>596</v>
      </c>
      <c r="G71" s="5" t="str">
        <f t="shared" si="4"/>
        <v>"#7f6333",</v>
      </c>
      <c r="H71" s="5">
        <v>3</v>
      </c>
      <c r="I71" s="5">
        <v>0.27173913043478198</v>
      </c>
      <c r="J71" s="5">
        <v>9.6589429881470998E-2</v>
      </c>
      <c r="K71" s="9">
        <f t="shared" si="5"/>
        <v>1.0150703973455903</v>
      </c>
      <c r="L71" s="5" t="s">
        <v>219</v>
      </c>
      <c r="M71" s="5">
        <v>974</v>
      </c>
      <c r="N71" s="5">
        <v>12</v>
      </c>
      <c r="O71" s="5">
        <v>21944</v>
      </c>
      <c r="P71" s="5">
        <v>5.6324435318275103</v>
      </c>
      <c r="Q71" s="5">
        <v>1</v>
      </c>
      <c r="R71" s="5">
        <v>1</v>
      </c>
      <c r="S71" s="5">
        <v>1</v>
      </c>
    </row>
    <row r="72" spans="1:19" x14ac:dyDescent="0.2">
      <c r="A72" s="5" t="s">
        <v>15</v>
      </c>
      <c r="B72" s="5" t="s">
        <v>723</v>
      </c>
      <c r="C72" s="5" t="s">
        <v>724</v>
      </c>
      <c r="D72" s="5" t="str">
        <f t="shared" si="3"/>
        <v>"chromatin remodeling",</v>
      </c>
      <c r="E72" s="5" t="s">
        <v>350</v>
      </c>
      <c r="F72" s="5" t="s">
        <v>596</v>
      </c>
      <c r="G72" s="5" t="str">
        <f t="shared" si="4"/>
        <v>"#7f6333",</v>
      </c>
      <c r="H72" s="5">
        <v>9</v>
      </c>
      <c r="I72" s="5">
        <v>0.81521739130434701</v>
      </c>
      <c r="J72" s="5">
        <v>9.86698684512618E-2</v>
      </c>
      <c r="K72" s="9">
        <f t="shared" si="5"/>
        <v>1.0058154508078094</v>
      </c>
      <c r="L72" s="5" t="s">
        <v>525</v>
      </c>
      <c r="M72" s="5">
        <v>974</v>
      </c>
      <c r="N72" s="5">
        <v>106</v>
      </c>
      <c r="O72" s="5">
        <v>21944</v>
      </c>
      <c r="P72" s="5">
        <v>1.91290535043198</v>
      </c>
      <c r="Q72" s="5">
        <v>1</v>
      </c>
      <c r="R72" s="5">
        <v>1</v>
      </c>
      <c r="S72" s="5">
        <v>1</v>
      </c>
    </row>
    <row r="73" spans="1:19" x14ac:dyDescent="0.2">
      <c r="A73" s="5" t="s">
        <v>15</v>
      </c>
      <c r="B73" s="5" t="s">
        <v>645</v>
      </c>
      <c r="C73" s="5" t="s">
        <v>646</v>
      </c>
      <c r="D73" s="5" t="str">
        <f t="shared" si="3"/>
        <v>"negative chemotaxis",</v>
      </c>
      <c r="E73" s="5" t="s">
        <v>350</v>
      </c>
      <c r="F73" s="5" t="s">
        <v>596</v>
      </c>
      <c r="G73" s="5" t="str">
        <f t="shared" si="4"/>
        <v>"#7f6333",</v>
      </c>
      <c r="H73" s="5">
        <v>5</v>
      </c>
      <c r="I73" s="5">
        <v>0.45289855072463697</v>
      </c>
      <c r="J73" s="5">
        <v>9.9871389844737299E-2</v>
      </c>
      <c r="K73" s="9">
        <f t="shared" si="5"/>
        <v>1.0005589062896847</v>
      </c>
      <c r="L73" s="5" t="s">
        <v>214</v>
      </c>
      <c r="M73" s="5">
        <v>974</v>
      </c>
      <c r="N73" s="5">
        <v>40</v>
      </c>
      <c r="O73" s="5">
        <v>21944</v>
      </c>
      <c r="P73" s="5">
        <v>2.8162217659137498</v>
      </c>
      <c r="Q73" s="5">
        <v>1</v>
      </c>
      <c r="R73" s="5">
        <v>1</v>
      </c>
      <c r="S73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052C-608E-704D-99B3-DA56DAE4795D}">
  <dimension ref="A1:S34"/>
  <sheetViews>
    <sheetView workbookViewId="0">
      <selection activeCell="G2" sqref="G2:G6"/>
    </sheetView>
  </sheetViews>
  <sheetFormatPr baseColWidth="10" defaultRowHeight="16" x14ac:dyDescent="0.2"/>
  <cols>
    <col min="1" max="1" width="18.6640625" bestFit="1" customWidth="1"/>
    <col min="2" max="2" width="11.33203125" bestFit="1" customWidth="1"/>
    <col min="3" max="3" width="38.6640625" bestFit="1" customWidth="1"/>
    <col min="4" max="4" width="40.83203125" bestFit="1" customWidth="1"/>
    <col min="5" max="5" width="17.3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46</v>
      </c>
      <c r="B2" s="2" t="s">
        <v>619</v>
      </c>
      <c r="C2" s="2" t="s">
        <v>620</v>
      </c>
      <c r="D2" s="2" t="str">
        <f>CHAR(34)&amp;C2&amp;CHAR(34)&amp;","</f>
        <v>"monoatomic ion channel complex",</v>
      </c>
      <c r="E2" s="2" t="s">
        <v>394</v>
      </c>
      <c r="F2" s="2" t="s">
        <v>597</v>
      </c>
      <c r="G2" s="2" t="str">
        <f>CHAR(34)&amp;F2&amp;CHAR(34)&amp;","</f>
        <v>"#0da285",</v>
      </c>
      <c r="H2" s="2">
        <v>16</v>
      </c>
      <c r="I2" s="2">
        <v>1.4492753623188399</v>
      </c>
      <c r="J2" s="2">
        <v>2.77483155194837E-3</v>
      </c>
      <c r="K2" s="7">
        <f>-(LOG(J2))</f>
        <v>2.5567633758853625</v>
      </c>
      <c r="L2" s="2" t="s">
        <v>526</v>
      </c>
      <c r="M2" s="2">
        <v>1013</v>
      </c>
      <c r="N2" s="2">
        <v>151</v>
      </c>
      <c r="O2" s="2">
        <v>22986</v>
      </c>
      <c r="P2" s="2">
        <v>2.4043461490687199</v>
      </c>
      <c r="Q2" s="2">
        <v>0.68260187059440003</v>
      </c>
      <c r="R2" s="2">
        <v>0.58724716844936697</v>
      </c>
      <c r="S2" s="2">
        <v>0.58440335649561703</v>
      </c>
    </row>
    <row r="3" spans="1:19" x14ac:dyDescent="0.2">
      <c r="A3" s="2" t="s">
        <v>46</v>
      </c>
      <c r="B3" s="2" t="s">
        <v>677</v>
      </c>
      <c r="C3" s="2" t="s">
        <v>678</v>
      </c>
      <c r="D3" s="2" t="str">
        <f t="shared" ref="D3:D34" si="0">CHAR(34)&amp;C3&amp;CHAR(34)&amp;","</f>
        <v>"extracellular region",</v>
      </c>
      <c r="E3" s="2" t="s">
        <v>394</v>
      </c>
      <c r="F3" s="2" t="s">
        <v>597</v>
      </c>
      <c r="G3" s="2" t="str">
        <f t="shared" ref="G3:G34" si="1">CHAR(34)&amp;F3&amp;CHAR(34)&amp;","</f>
        <v>"#0da285",</v>
      </c>
      <c r="H3" s="2">
        <v>70</v>
      </c>
      <c r="I3" s="2">
        <v>6.3405797101449197</v>
      </c>
      <c r="J3" s="2">
        <v>3.73009759037402E-3</v>
      </c>
      <c r="K3" s="7">
        <f t="shared" ref="K3:K34" si="2">-(LOG(J3))</f>
        <v>2.4282798056158468</v>
      </c>
      <c r="L3" s="2" t="s">
        <v>527</v>
      </c>
      <c r="M3" s="2">
        <v>1013</v>
      </c>
      <c r="N3" s="2">
        <v>1131</v>
      </c>
      <c r="O3" s="2">
        <v>22986</v>
      </c>
      <c r="P3" s="2">
        <v>1.4043953799544899</v>
      </c>
      <c r="Q3" s="2">
        <v>0.78634882854481603</v>
      </c>
      <c r="R3" s="2">
        <v>0.58724716844936697</v>
      </c>
      <c r="S3" s="2">
        <v>0.58440335649561703</v>
      </c>
    </row>
    <row r="4" spans="1:19" x14ac:dyDescent="0.2">
      <c r="A4" s="2" t="s">
        <v>46</v>
      </c>
      <c r="B4" s="2" t="s">
        <v>389</v>
      </c>
      <c r="C4" s="2" t="s">
        <v>390</v>
      </c>
      <c r="D4" s="2" t="str">
        <f t="shared" si="0"/>
        <v>"Golgi apparatus",</v>
      </c>
      <c r="E4" s="2" t="s">
        <v>394</v>
      </c>
      <c r="F4" s="2" t="s">
        <v>597</v>
      </c>
      <c r="G4" s="2" t="str">
        <f t="shared" si="1"/>
        <v>"#0da285",</v>
      </c>
      <c r="H4" s="2">
        <v>46</v>
      </c>
      <c r="I4" s="2">
        <v>4.1666666666666599</v>
      </c>
      <c r="J4" s="2">
        <v>5.5405156361735602E-3</v>
      </c>
      <c r="K4" s="7">
        <f t="shared" si="2"/>
        <v>2.2564498151408903</v>
      </c>
      <c r="L4" s="2" t="s">
        <v>528</v>
      </c>
      <c r="M4" s="2">
        <v>1013</v>
      </c>
      <c r="N4" s="2">
        <v>690</v>
      </c>
      <c r="O4" s="2">
        <v>22986</v>
      </c>
      <c r="P4" s="2">
        <v>1.5127344521224</v>
      </c>
      <c r="Q4" s="2">
        <v>0.89919783696658395</v>
      </c>
      <c r="R4" s="2">
        <v>0.58724716844936697</v>
      </c>
      <c r="S4" s="2">
        <v>0.58440335649561703</v>
      </c>
    </row>
    <row r="5" spans="1:19" x14ac:dyDescent="0.2">
      <c r="A5" s="2" t="s">
        <v>46</v>
      </c>
      <c r="B5" s="2" t="s">
        <v>353</v>
      </c>
      <c r="C5" s="2" t="s">
        <v>354</v>
      </c>
      <c r="D5" s="2" t="str">
        <f t="shared" si="0"/>
        <v>"cytoplasm",</v>
      </c>
      <c r="E5" s="2" t="s">
        <v>394</v>
      </c>
      <c r="F5" s="2" t="s">
        <v>597</v>
      </c>
      <c r="G5" s="2" t="str">
        <f t="shared" si="1"/>
        <v>"#0da285",</v>
      </c>
      <c r="H5" s="2">
        <v>271</v>
      </c>
      <c r="I5" s="2">
        <v>24.547101449275299</v>
      </c>
      <c r="J5" s="2">
        <v>7.5175768936986097E-3</v>
      </c>
      <c r="K5" s="7">
        <f t="shared" si="2"/>
        <v>2.1239221210141812</v>
      </c>
      <c r="L5" s="2" t="s">
        <v>529</v>
      </c>
      <c r="M5" s="2">
        <v>1013</v>
      </c>
      <c r="N5" s="2">
        <v>5385</v>
      </c>
      <c r="O5" s="2">
        <v>22986</v>
      </c>
      <c r="P5" s="2">
        <v>1.1419248928277701</v>
      </c>
      <c r="Q5" s="2">
        <v>0.955687488248674</v>
      </c>
      <c r="R5" s="2">
        <v>0.58724716844936697</v>
      </c>
      <c r="S5" s="2">
        <v>0.58440335649561703</v>
      </c>
    </row>
    <row r="6" spans="1:19" x14ac:dyDescent="0.2">
      <c r="A6" s="2" t="s">
        <v>46</v>
      </c>
      <c r="B6" s="2" t="s">
        <v>675</v>
      </c>
      <c r="C6" s="2" t="s">
        <v>676</v>
      </c>
      <c r="D6" s="2" t="str">
        <f t="shared" si="0"/>
        <v>"exocyst",</v>
      </c>
      <c r="E6" s="2" t="s">
        <v>394</v>
      </c>
      <c r="F6" s="2" t="s">
        <v>597</v>
      </c>
      <c r="G6" s="2" t="str">
        <f t="shared" si="1"/>
        <v>"#0da285",</v>
      </c>
      <c r="H6" s="2">
        <v>5</v>
      </c>
      <c r="I6" s="2">
        <v>0.45289855072463697</v>
      </c>
      <c r="J6" s="2">
        <v>8.5239367745266695E-3</v>
      </c>
      <c r="K6" s="7">
        <f t="shared" si="2"/>
        <v>2.0693597802830372</v>
      </c>
      <c r="L6" s="2" t="s">
        <v>530</v>
      </c>
      <c r="M6" s="2">
        <v>1013</v>
      </c>
      <c r="N6" s="2">
        <v>19</v>
      </c>
      <c r="O6" s="2">
        <v>22986</v>
      </c>
      <c r="P6" s="2">
        <v>5.9713202057463404</v>
      </c>
      <c r="Q6" s="2">
        <v>0.97085510385458795</v>
      </c>
      <c r="R6" s="2">
        <v>0.58724716844936697</v>
      </c>
      <c r="S6" s="2">
        <v>0.58440335649561703</v>
      </c>
    </row>
    <row r="7" spans="1:19" x14ac:dyDescent="0.2">
      <c r="A7" t="s">
        <v>46</v>
      </c>
      <c r="B7" t="s">
        <v>613</v>
      </c>
      <c r="C7" t="s">
        <v>614</v>
      </c>
      <c r="D7" t="str">
        <f t="shared" si="0"/>
        <v>"endoplasmic reticulum",</v>
      </c>
      <c r="E7" t="s">
        <v>394</v>
      </c>
      <c r="F7" t="s">
        <v>597</v>
      </c>
      <c r="G7" t="str">
        <f t="shared" si="1"/>
        <v>"#0da285",</v>
      </c>
      <c r="H7">
        <v>54</v>
      </c>
      <c r="I7">
        <v>4.8913043478260798</v>
      </c>
      <c r="J7">
        <v>1.04860652839647E-2</v>
      </c>
      <c r="K7" s="8">
        <f t="shared" si="2"/>
        <v>1.9793874427907709</v>
      </c>
      <c r="L7" t="s">
        <v>531</v>
      </c>
      <c r="M7">
        <v>1013</v>
      </c>
      <c r="N7">
        <v>871</v>
      </c>
      <c r="O7">
        <v>22986</v>
      </c>
      <c r="P7">
        <v>1.4067909371057901</v>
      </c>
      <c r="Q7">
        <v>0.98713971233087405</v>
      </c>
      <c r="R7">
        <v>0.58724716844936697</v>
      </c>
      <c r="S7">
        <v>0.58440335649561703</v>
      </c>
    </row>
    <row r="8" spans="1:19" x14ac:dyDescent="0.2">
      <c r="A8" t="s">
        <v>46</v>
      </c>
      <c r="B8" t="s">
        <v>383</v>
      </c>
      <c r="C8" t="s">
        <v>384</v>
      </c>
      <c r="D8" t="str">
        <f t="shared" si="0"/>
        <v>"collagen-containing extracellular matrix",</v>
      </c>
      <c r="E8" t="s">
        <v>394</v>
      </c>
      <c r="F8" t="s">
        <v>597</v>
      </c>
      <c r="G8" t="str">
        <f t="shared" si="1"/>
        <v>"#0da285",</v>
      </c>
      <c r="H8">
        <v>19</v>
      </c>
      <c r="I8">
        <v>1.72101449275362</v>
      </c>
      <c r="J8">
        <v>1.0917991974233199E-2</v>
      </c>
      <c r="K8" s="8">
        <f t="shared" si="2"/>
        <v>1.9618572292778609</v>
      </c>
      <c r="L8" t="s">
        <v>532</v>
      </c>
      <c r="M8">
        <v>1013</v>
      </c>
      <c r="N8">
        <v>225</v>
      </c>
      <c r="O8">
        <v>22986</v>
      </c>
      <c r="P8">
        <v>1.9161303060217101</v>
      </c>
      <c r="Q8">
        <v>0.98926157295578199</v>
      </c>
      <c r="R8">
        <v>0.58724716844936697</v>
      </c>
      <c r="S8">
        <v>0.58440335649561703</v>
      </c>
    </row>
    <row r="9" spans="1:19" x14ac:dyDescent="0.2">
      <c r="A9" t="s">
        <v>46</v>
      </c>
      <c r="B9" t="s">
        <v>351</v>
      </c>
      <c r="C9" t="s">
        <v>352</v>
      </c>
      <c r="D9" t="str">
        <f t="shared" si="0"/>
        <v>"cytoskeleton",</v>
      </c>
      <c r="E9" t="s">
        <v>394</v>
      </c>
      <c r="F9" t="s">
        <v>597</v>
      </c>
      <c r="G9" t="str">
        <f t="shared" si="1"/>
        <v>"#0da285",</v>
      </c>
      <c r="H9">
        <v>46</v>
      </c>
      <c r="I9">
        <v>4.1666666666666599</v>
      </c>
      <c r="J9">
        <v>1.13752478149998E-2</v>
      </c>
      <c r="K9" s="8">
        <f t="shared" si="2"/>
        <v>1.9440391332629721</v>
      </c>
      <c r="L9" t="s">
        <v>533</v>
      </c>
      <c r="M9">
        <v>1013</v>
      </c>
      <c r="N9">
        <v>720</v>
      </c>
      <c r="O9">
        <v>22986</v>
      </c>
      <c r="P9">
        <v>1.4497038499506401</v>
      </c>
      <c r="Q9">
        <v>0.99112841719730704</v>
      </c>
      <c r="R9">
        <v>0.58724716844936697</v>
      </c>
      <c r="S9">
        <v>0.58440335649561703</v>
      </c>
    </row>
    <row r="10" spans="1:19" x14ac:dyDescent="0.2">
      <c r="A10" t="s">
        <v>46</v>
      </c>
      <c r="B10" t="s">
        <v>735</v>
      </c>
      <c r="C10" t="s">
        <v>736</v>
      </c>
      <c r="D10" t="str">
        <f t="shared" si="0"/>
        <v>"NuRD complex",</v>
      </c>
      <c r="E10" t="s">
        <v>394</v>
      </c>
      <c r="F10" t="s">
        <v>597</v>
      </c>
      <c r="G10" t="str">
        <f t="shared" si="1"/>
        <v>"#0da285",</v>
      </c>
      <c r="H10">
        <v>4</v>
      </c>
      <c r="I10">
        <v>0.36231884057970998</v>
      </c>
      <c r="J10">
        <v>1.38895633872449E-2</v>
      </c>
      <c r="K10" s="8">
        <f t="shared" si="2"/>
        <v>1.8573114059175699</v>
      </c>
      <c r="L10" t="s">
        <v>534</v>
      </c>
      <c r="M10">
        <v>1013</v>
      </c>
      <c r="N10">
        <v>12</v>
      </c>
      <c r="O10">
        <v>22986</v>
      </c>
      <c r="P10">
        <v>7.5636722606120399</v>
      </c>
      <c r="Q10">
        <v>0.99690076640964698</v>
      </c>
      <c r="R10">
        <v>0.637376630992463</v>
      </c>
      <c r="S10">
        <v>0.63429006135085297</v>
      </c>
    </row>
    <row r="11" spans="1:19" x14ac:dyDescent="0.2">
      <c r="A11" t="s">
        <v>46</v>
      </c>
      <c r="B11" t="s">
        <v>367</v>
      </c>
      <c r="C11" t="s">
        <v>368</v>
      </c>
      <c r="D11" t="str">
        <f t="shared" si="0"/>
        <v>"clathrin-coated endocytic vesicle",</v>
      </c>
      <c r="E11" t="s">
        <v>394</v>
      </c>
      <c r="F11" t="s">
        <v>597</v>
      </c>
      <c r="G11" t="str">
        <f t="shared" si="1"/>
        <v>"#0da285",</v>
      </c>
      <c r="H11">
        <v>3</v>
      </c>
      <c r="I11">
        <v>0.27173913043478198</v>
      </c>
      <c r="J11">
        <v>1.77187025021401E-2</v>
      </c>
      <c r="K11" s="8">
        <f t="shared" si="2"/>
        <v>1.7515680836223351</v>
      </c>
      <c r="L11" t="s">
        <v>535</v>
      </c>
      <c r="M11">
        <v>1013</v>
      </c>
      <c r="N11">
        <v>5</v>
      </c>
      <c r="O11">
        <v>22986</v>
      </c>
      <c r="P11">
        <v>13.6146100691016</v>
      </c>
      <c r="Q11">
        <v>0.99937853530040099</v>
      </c>
      <c r="R11">
        <v>0.73178241333838601</v>
      </c>
      <c r="S11">
        <v>0.72823867283795796</v>
      </c>
    </row>
    <row r="12" spans="1:19" x14ac:dyDescent="0.2">
      <c r="A12" t="s">
        <v>46</v>
      </c>
      <c r="B12" t="s">
        <v>385</v>
      </c>
      <c r="C12" t="s">
        <v>386</v>
      </c>
      <c r="D12" t="str">
        <f t="shared" si="0"/>
        <v>"voltage-gated calcium channel complex",</v>
      </c>
      <c r="E12" t="s">
        <v>394</v>
      </c>
      <c r="F12" t="s">
        <v>597</v>
      </c>
      <c r="G12" t="str">
        <f t="shared" si="1"/>
        <v>"#0da285",</v>
      </c>
      <c r="H12">
        <v>6</v>
      </c>
      <c r="I12">
        <v>0.54347826086956497</v>
      </c>
      <c r="J12">
        <v>2.2188812662727601E-2</v>
      </c>
      <c r="K12" s="8">
        <f t="shared" si="2"/>
        <v>1.6538659365161574</v>
      </c>
      <c r="L12" t="s">
        <v>536</v>
      </c>
      <c r="M12">
        <v>1013</v>
      </c>
      <c r="N12">
        <v>37</v>
      </c>
      <c r="O12">
        <v>22986</v>
      </c>
      <c r="P12">
        <v>3.6796243430004498</v>
      </c>
      <c r="Q12">
        <v>0.99990552525101095</v>
      </c>
      <c r="R12">
        <v>0.76366496914220805</v>
      </c>
      <c r="S12">
        <v>0.75996683369842</v>
      </c>
    </row>
    <row r="13" spans="1:19" x14ac:dyDescent="0.2">
      <c r="A13" t="s">
        <v>46</v>
      </c>
      <c r="B13" t="s">
        <v>841</v>
      </c>
      <c r="C13" t="s">
        <v>842</v>
      </c>
      <c r="D13" t="str">
        <f t="shared" si="0"/>
        <v>"perikaryon",</v>
      </c>
      <c r="E13" t="s">
        <v>394</v>
      </c>
      <c r="F13" t="s">
        <v>597</v>
      </c>
      <c r="G13" t="str">
        <f t="shared" si="1"/>
        <v>"#0da285",</v>
      </c>
      <c r="H13">
        <v>6</v>
      </c>
      <c r="I13">
        <v>0.54347826086956497</v>
      </c>
      <c r="J13">
        <v>2.2188812662727601E-2</v>
      </c>
      <c r="K13" s="8">
        <f t="shared" si="2"/>
        <v>1.6538659365161574</v>
      </c>
      <c r="L13" t="s">
        <v>537</v>
      </c>
      <c r="M13">
        <v>1013</v>
      </c>
      <c r="N13">
        <v>37</v>
      </c>
      <c r="O13">
        <v>22986</v>
      </c>
      <c r="P13">
        <v>3.6796243430004498</v>
      </c>
      <c r="Q13">
        <v>0.99990552525101095</v>
      </c>
      <c r="R13">
        <v>0.76366496914220805</v>
      </c>
      <c r="S13">
        <v>0.75996683369842</v>
      </c>
    </row>
    <row r="14" spans="1:19" x14ac:dyDescent="0.2">
      <c r="A14" t="s">
        <v>46</v>
      </c>
      <c r="B14" t="s">
        <v>357</v>
      </c>
      <c r="C14" t="s">
        <v>358</v>
      </c>
      <c r="D14" t="str">
        <f t="shared" si="0"/>
        <v>"postsynaptic membrane",</v>
      </c>
      <c r="E14" t="s">
        <v>394</v>
      </c>
      <c r="F14" t="s">
        <v>597</v>
      </c>
      <c r="G14" t="str">
        <f t="shared" si="1"/>
        <v>"#0da285",</v>
      </c>
      <c r="H14">
        <v>15</v>
      </c>
      <c r="I14">
        <v>1.35869565217391</v>
      </c>
      <c r="J14">
        <v>3.0718868798834301E-2</v>
      </c>
      <c r="K14" s="8">
        <f t="shared" si="2"/>
        <v>1.512594780940965</v>
      </c>
      <c r="L14" t="s">
        <v>538</v>
      </c>
      <c r="M14">
        <v>1013</v>
      </c>
      <c r="N14">
        <v>182</v>
      </c>
      <c r="O14">
        <v>22986</v>
      </c>
      <c r="P14">
        <v>1.8701387457557199</v>
      </c>
      <c r="Q14">
        <v>0.99999746632877395</v>
      </c>
      <c r="R14">
        <v>0.90054539002428302</v>
      </c>
      <c r="S14">
        <v>0.89618439539946804</v>
      </c>
    </row>
    <row r="15" spans="1:19" x14ac:dyDescent="0.2">
      <c r="A15" t="s">
        <v>46</v>
      </c>
      <c r="B15" t="s">
        <v>369</v>
      </c>
      <c r="C15" t="s">
        <v>370</v>
      </c>
      <c r="D15" t="str">
        <f t="shared" si="0"/>
        <v>"postsynaptic density membrane",</v>
      </c>
      <c r="E15" t="s">
        <v>394</v>
      </c>
      <c r="F15" t="s">
        <v>597</v>
      </c>
      <c r="G15" t="str">
        <f t="shared" si="1"/>
        <v>"#0da285",</v>
      </c>
      <c r="H15">
        <v>8</v>
      </c>
      <c r="I15">
        <v>0.72463768115941996</v>
      </c>
      <c r="J15">
        <v>3.1788629975308499E-2</v>
      </c>
      <c r="K15" s="8">
        <f t="shared" si="2"/>
        <v>1.4977281888824878</v>
      </c>
      <c r="L15" t="s">
        <v>539</v>
      </c>
      <c r="M15">
        <v>1013</v>
      </c>
      <c r="N15">
        <v>69</v>
      </c>
      <c r="O15">
        <v>22986</v>
      </c>
      <c r="P15">
        <v>2.6308425254302699</v>
      </c>
      <c r="Q15">
        <v>0.99999839422874803</v>
      </c>
      <c r="R15">
        <v>0.90054539002428302</v>
      </c>
      <c r="S15">
        <v>0.89618439539946804</v>
      </c>
    </row>
    <row r="16" spans="1:19" x14ac:dyDescent="0.2">
      <c r="A16" t="s">
        <v>46</v>
      </c>
      <c r="B16" t="s">
        <v>739</v>
      </c>
      <c r="C16" t="s">
        <v>740</v>
      </c>
      <c r="D16" t="str">
        <f t="shared" si="0"/>
        <v>"nucleolus",</v>
      </c>
      <c r="E16" t="s">
        <v>394</v>
      </c>
      <c r="F16" t="s">
        <v>597</v>
      </c>
      <c r="G16" t="str">
        <f t="shared" si="1"/>
        <v>"#0da285",</v>
      </c>
      <c r="H16">
        <v>19</v>
      </c>
      <c r="I16">
        <v>1.72101449275362</v>
      </c>
      <c r="J16">
        <v>3.6461871625383599E-2</v>
      </c>
      <c r="K16" s="8">
        <f t="shared" si="2"/>
        <v>1.4381610423262958</v>
      </c>
      <c r="L16" t="s">
        <v>540</v>
      </c>
      <c r="M16">
        <v>1013</v>
      </c>
      <c r="N16">
        <v>258</v>
      </c>
      <c r="O16">
        <v>22986</v>
      </c>
      <c r="P16">
        <v>1.67104387153056</v>
      </c>
      <c r="Q16">
        <v>0.99999978230035502</v>
      </c>
      <c r="R16">
        <v>0.90054539002428302</v>
      </c>
      <c r="S16">
        <v>0.89618439539946804</v>
      </c>
    </row>
    <row r="17" spans="1:19" x14ac:dyDescent="0.2">
      <c r="A17" t="s">
        <v>46</v>
      </c>
      <c r="B17" t="s">
        <v>379</v>
      </c>
      <c r="C17" t="s">
        <v>380</v>
      </c>
      <c r="D17" t="str">
        <f t="shared" si="0"/>
        <v>"lysosomal membrane",</v>
      </c>
      <c r="E17" t="s">
        <v>394</v>
      </c>
      <c r="F17" t="s">
        <v>597</v>
      </c>
      <c r="G17" t="str">
        <f t="shared" si="1"/>
        <v>"#0da285",</v>
      </c>
      <c r="H17">
        <v>14</v>
      </c>
      <c r="I17">
        <v>1.26811594202898</v>
      </c>
      <c r="J17">
        <v>3.7896193063374502E-2</v>
      </c>
      <c r="K17" s="8">
        <f t="shared" si="2"/>
        <v>1.4214044157472565</v>
      </c>
      <c r="L17" t="s">
        <v>541</v>
      </c>
      <c r="M17">
        <v>1013</v>
      </c>
      <c r="N17">
        <v>170</v>
      </c>
      <c r="O17">
        <v>22986</v>
      </c>
      <c r="P17">
        <v>1.8686719702688499</v>
      </c>
      <c r="Q17">
        <v>0.99999988233199899</v>
      </c>
      <c r="R17">
        <v>0.90054539002428302</v>
      </c>
      <c r="S17">
        <v>0.89618439539946804</v>
      </c>
    </row>
    <row r="18" spans="1:19" x14ac:dyDescent="0.2">
      <c r="A18" t="s">
        <v>46</v>
      </c>
      <c r="B18" t="s">
        <v>673</v>
      </c>
      <c r="C18" t="s">
        <v>674</v>
      </c>
      <c r="D18" t="str">
        <f t="shared" si="0"/>
        <v>"adherens junction",</v>
      </c>
      <c r="E18" t="s">
        <v>394</v>
      </c>
      <c r="F18" t="s">
        <v>597</v>
      </c>
      <c r="G18" t="str">
        <f t="shared" si="1"/>
        <v>"#0da285",</v>
      </c>
      <c r="H18">
        <v>13</v>
      </c>
      <c r="I18">
        <v>1.1775362318840501</v>
      </c>
      <c r="J18">
        <v>3.8142927024174697E-2</v>
      </c>
      <c r="K18" s="8">
        <f t="shared" si="2"/>
        <v>1.4185859829818928</v>
      </c>
      <c r="L18" t="s">
        <v>542</v>
      </c>
      <c r="M18">
        <v>1013</v>
      </c>
      <c r="N18">
        <v>153</v>
      </c>
      <c r="O18">
        <v>22986</v>
      </c>
      <c r="P18">
        <v>1.92799488995993</v>
      </c>
      <c r="Q18">
        <v>0.99999989415892998</v>
      </c>
      <c r="R18">
        <v>0.90054539002428302</v>
      </c>
      <c r="S18">
        <v>0.89618439539946804</v>
      </c>
    </row>
    <row r="19" spans="1:19" x14ac:dyDescent="0.2">
      <c r="A19" t="s">
        <v>46</v>
      </c>
      <c r="B19" t="s">
        <v>679</v>
      </c>
      <c r="C19" t="s">
        <v>680</v>
      </c>
      <c r="D19" t="str">
        <f t="shared" si="0"/>
        <v>"basement membrane",</v>
      </c>
      <c r="E19" t="s">
        <v>394</v>
      </c>
      <c r="F19" t="s">
        <v>597</v>
      </c>
      <c r="G19" t="str">
        <f t="shared" si="1"/>
        <v>"#0da285",</v>
      </c>
      <c r="H19">
        <v>7</v>
      </c>
      <c r="I19">
        <v>0.63405797101449202</v>
      </c>
      <c r="J19">
        <v>4.1631629770725098E-2</v>
      </c>
      <c r="K19" s="8">
        <f t="shared" si="2"/>
        <v>1.3805765872737266</v>
      </c>
      <c r="L19" t="s">
        <v>543</v>
      </c>
      <c r="M19">
        <v>1013</v>
      </c>
      <c r="N19">
        <v>58</v>
      </c>
      <c r="O19">
        <v>22986</v>
      </c>
      <c r="P19">
        <v>2.7385709909112501</v>
      </c>
      <c r="Q19">
        <v>0.999999976400059</v>
      </c>
      <c r="R19">
        <v>0.90054539002428302</v>
      </c>
      <c r="S19">
        <v>0.89618439539946804</v>
      </c>
    </row>
    <row r="20" spans="1:19" x14ac:dyDescent="0.2">
      <c r="A20" t="s">
        <v>46</v>
      </c>
      <c r="B20" t="s">
        <v>843</v>
      </c>
      <c r="C20" t="s">
        <v>844</v>
      </c>
      <c r="D20" t="str">
        <f t="shared" si="0"/>
        <v>"extrinsic component of membrane",</v>
      </c>
      <c r="E20" t="s">
        <v>394</v>
      </c>
      <c r="F20" t="s">
        <v>597</v>
      </c>
      <c r="G20" t="str">
        <f t="shared" si="1"/>
        <v>"#0da285",</v>
      </c>
      <c r="H20">
        <v>4</v>
      </c>
      <c r="I20">
        <v>0.36231884057970998</v>
      </c>
      <c r="J20">
        <v>4.2372789837527097E-2</v>
      </c>
      <c r="K20" s="8">
        <f t="shared" si="2"/>
        <v>1.3729129409752641</v>
      </c>
      <c r="L20" t="s">
        <v>544</v>
      </c>
      <c r="M20">
        <v>1013</v>
      </c>
      <c r="N20">
        <v>18</v>
      </c>
      <c r="O20">
        <v>22986</v>
      </c>
      <c r="P20">
        <v>5.0424481737413602</v>
      </c>
      <c r="Q20">
        <v>0.99999998285469205</v>
      </c>
      <c r="R20">
        <v>0.90054539002428302</v>
      </c>
      <c r="S20">
        <v>0.89618439539946804</v>
      </c>
    </row>
    <row r="21" spans="1:19" x14ac:dyDescent="0.2">
      <c r="A21" t="s">
        <v>46</v>
      </c>
      <c r="B21" t="s">
        <v>355</v>
      </c>
      <c r="C21" t="s">
        <v>356</v>
      </c>
      <c r="D21" t="str">
        <f t="shared" si="0"/>
        <v>"centrosome",</v>
      </c>
      <c r="E21" t="s">
        <v>394</v>
      </c>
      <c r="F21" t="s">
        <v>597</v>
      </c>
      <c r="G21" t="str">
        <f t="shared" si="1"/>
        <v>"#0da285",</v>
      </c>
      <c r="H21">
        <v>19</v>
      </c>
      <c r="I21">
        <v>1.72101449275362</v>
      </c>
      <c r="J21">
        <v>4.5458656542717697E-2</v>
      </c>
      <c r="K21" s="8">
        <f t="shared" si="2"/>
        <v>1.3423834032944146</v>
      </c>
      <c r="L21" t="s">
        <v>545</v>
      </c>
      <c r="M21">
        <v>1013</v>
      </c>
      <c r="N21">
        <v>265</v>
      </c>
      <c r="O21">
        <v>22986</v>
      </c>
      <c r="P21">
        <v>1.62690309001843</v>
      </c>
      <c r="Q21">
        <v>0.99999999547905605</v>
      </c>
      <c r="R21">
        <v>0.90054539002428302</v>
      </c>
      <c r="S21">
        <v>0.89618439539946804</v>
      </c>
    </row>
    <row r="22" spans="1:19" x14ac:dyDescent="0.2">
      <c r="A22" t="s">
        <v>46</v>
      </c>
      <c r="B22" t="s">
        <v>845</v>
      </c>
      <c r="C22" t="s">
        <v>846</v>
      </c>
      <c r="D22" t="str">
        <f t="shared" si="0"/>
        <v>"endosome",</v>
      </c>
      <c r="E22" t="s">
        <v>394</v>
      </c>
      <c r="F22" t="s">
        <v>597</v>
      </c>
      <c r="G22" t="str">
        <f t="shared" si="1"/>
        <v>"#0da285",</v>
      </c>
      <c r="H22">
        <v>22</v>
      </c>
      <c r="I22">
        <v>1.9927536231884</v>
      </c>
      <c r="J22">
        <v>4.5790443560556698E-2</v>
      </c>
      <c r="K22" s="8">
        <f t="shared" si="2"/>
        <v>1.3392251495500673</v>
      </c>
      <c r="L22" t="s">
        <v>546</v>
      </c>
      <c r="M22">
        <v>1013</v>
      </c>
      <c r="N22">
        <v>321</v>
      </c>
      <c r="O22">
        <v>22986</v>
      </c>
      <c r="P22">
        <v>1.55514756760247</v>
      </c>
      <c r="Q22">
        <v>0.99999999608372103</v>
      </c>
      <c r="R22">
        <v>0.90054539002428302</v>
      </c>
      <c r="S22">
        <v>0.89618439539946804</v>
      </c>
    </row>
    <row r="23" spans="1:19" x14ac:dyDescent="0.2">
      <c r="A23" t="s">
        <v>46</v>
      </c>
      <c r="B23" t="s">
        <v>359</v>
      </c>
      <c r="C23" t="s">
        <v>360</v>
      </c>
      <c r="D23" t="str">
        <f t="shared" si="0"/>
        <v>"plasma membrane",</v>
      </c>
      <c r="E23" t="s">
        <v>394</v>
      </c>
      <c r="F23" t="s">
        <v>597</v>
      </c>
      <c r="G23" t="str">
        <f t="shared" si="1"/>
        <v>"#0da285",</v>
      </c>
      <c r="H23">
        <v>205</v>
      </c>
      <c r="I23">
        <v>18.568840579710098</v>
      </c>
      <c r="J23">
        <v>4.8544652507830001E-2</v>
      </c>
      <c r="K23" s="8">
        <f t="shared" si="2"/>
        <v>1.3138586033306279</v>
      </c>
      <c r="L23" t="s">
        <v>547</v>
      </c>
      <c r="M23">
        <v>1013</v>
      </c>
      <c r="N23">
        <v>4173</v>
      </c>
      <c r="O23">
        <v>22986</v>
      </c>
      <c r="P23">
        <v>1.1147036760786899</v>
      </c>
      <c r="Q23">
        <v>0.99999999881309998</v>
      </c>
      <c r="R23">
        <v>0.91131552207880995</v>
      </c>
      <c r="S23">
        <v>0.90690237185082501</v>
      </c>
    </row>
    <row r="24" spans="1:19" x14ac:dyDescent="0.2">
      <c r="A24" s="5" t="s">
        <v>46</v>
      </c>
      <c r="B24" s="5" t="s">
        <v>847</v>
      </c>
      <c r="C24" s="5" t="s">
        <v>848</v>
      </c>
      <c r="D24" s="5" t="str">
        <f t="shared" si="0"/>
        <v>"cytosol",</v>
      </c>
      <c r="E24" s="5" t="s">
        <v>394</v>
      </c>
      <c r="F24" s="5" t="s">
        <v>597</v>
      </c>
      <c r="G24" s="5" t="str">
        <f t="shared" si="1"/>
        <v>"#0da285",</v>
      </c>
      <c r="H24" s="5">
        <v>74</v>
      </c>
      <c r="I24" s="5">
        <v>6.7028985507246297</v>
      </c>
      <c r="J24" s="5">
        <v>5.2984758966493302E-2</v>
      </c>
      <c r="K24" s="9">
        <f t="shared" si="2"/>
        <v>1.2758490369774895</v>
      </c>
      <c r="L24" s="5" t="s">
        <v>548</v>
      </c>
      <c r="M24" s="5">
        <v>1013</v>
      </c>
      <c r="N24" s="5">
        <v>1373</v>
      </c>
      <c r="O24" s="5">
        <v>22986</v>
      </c>
      <c r="P24" s="5">
        <v>1.22296812953814</v>
      </c>
      <c r="Q24" s="5">
        <v>0.999999999828039</v>
      </c>
      <c r="R24" s="5">
        <v>0.94857062201980302</v>
      </c>
      <c r="S24" s="5">
        <v>0.943977059685567</v>
      </c>
    </row>
    <row r="25" spans="1:19" x14ac:dyDescent="0.2">
      <c r="A25" s="5" t="s">
        <v>46</v>
      </c>
      <c r="B25" s="5" t="s">
        <v>737</v>
      </c>
      <c r="C25" s="5" t="s">
        <v>738</v>
      </c>
      <c r="D25" s="5" t="str">
        <f t="shared" si="0"/>
        <v>"chromatin",</v>
      </c>
      <c r="E25" s="5" t="s">
        <v>394</v>
      </c>
      <c r="F25" s="5" t="s">
        <v>597</v>
      </c>
      <c r="G25" s="5" t="str">
        <f t="shared" si="1"/>
        <v>"#0da285",</v>
      </c>
      <c r="H25" s="5">
        <v>15</v>
      </c>
      <c r="I25" s="5">
        <v>1.35869565217391</v>
      </c>
      <c r="J25" s="5">
        <v>5.7382736624111599E-2</v>
      </c>
      <c r="K25" s="9">
        <f t="shared" si="2"/>
        <v>1.2412187437789359</v>
      </c>
      <c r="L25" s="5" t="s">
        <v>549</v>
      </c>
      <c r="M25" s="5">
        <v>1013</v>
      </c>
      <c r="N25" s="5">
        <v>199</v>
      </c>
      <c r="O25" s="5">
        <v>22986</v>
      </c>
      <c r="P25" s="5">
        <v>1.71037814938463</v>
      </c>
      <c r="Q25" s="5">
        <v>0.99999999997485101</v>
      </c>
      <c r="R25" s="5">
        <v>0.94857062201980302</v>
      </c>
      <c r="S25" s="5">
        <v>0.943977059685567</v>
      </c>
    </row>
    <row r="26" spans="1:19" x14ac:dyDescent="0.2">
      <c r="A26" s="5" t="s">
        <v>46</v>
      </c>
      <c r="B26" s="5" t="s">
        <v>729</v>
      </c>
      <c r="C26" s="5" t="s">
        <v>730</v>
      </c>
      <c r="D26" s="5" t="str">
        <f t="shared" si="0"/>
        <v>"nucleus",</v>
      </c>
      <c r="E26" s="5" t="s">
        <v>394</v>
      </c>
      <c r="F26" s="5" t="s">
        <v>597</v>
      </c>
      <c r="G26" s="5" t="str">
        <f t="shared" si="1"/>
        <v>"#0da285",</v>
      </c>
      <c r="H26" s="5">
        <v>270</v>
      </c>
      <c r="I26" s="5">
        <v>24.456521739130402</v>
      </c>
      <c r="J26" s="5">
        <v>5.74195291779541E-2</v>
      </c>
      <c r="K26" s="9">
        <f t="shared" si="2"/>
        <v>1.240940372902815</v>
      </c>
      <c r="L26" s="5" t="s">
        <v>550</v>
      </c>
      <c r="M26" s="5">
        <v>1013</v>
      </c>
      <c r="N26" s="5">
        <v>5618</v>
      </c>
      <c r="O26" s="5">
        <v>22986</v>
      </c>
      <c r="P26" s="5">
        <v>1.0905259044314199</v>
      </c>
      <c r="Q26" s="5">
        <v>0.99999999997525302</v>
      </c>
      <c r="R26" s="5">
        <v>0.94857062201980302</v>
      </c>
      <c r="S26" s="5">
        <v>0.943977059685567</v>
      </c>
    </row>
    <row r="27" spans="1:19" x14ac:dyDescent="0.2">
      <c r="A27" s="5" t="s">
        <v>46</v>
      </c>
      <c r="B27" s="5" t="s">
        <v>849</v>
      </c>
      <c r="C27" s="5" t="s">
        <v>850</v>
      </c>
      <c r="D27" s="5" t="str">
        <f t="shared" si="0"/>
        <v>"postsynaptic specialization membrane",</v>
      </c>
      <c r="E27" s="5" t="s">
        <v>394</v>
      </c>
      <c r="F27" s="5" t="s">
        <v>597</v>
      </c>
      <c r="G27" s="5" t="str">
        <f t="shared" si="1"/>
        <v>"#0da285",</v>
      </c>
      <c r="H27" s="5">
        <v>3</v>
      </c>
      <c r="I27" s="5">
        <v>0.27173913043478198</v>
      </c>
      <c r="J27" s="5">
        <v>6.8916036763430499E-2</v>
      </c>
      <c r="K27" s="9">
        <f t="shared" si="2"/>
        <v>1.1616797059956798</v>
      </c>
      <c r="L27" s="5" t="s">
        <v>551</v>
      </c>
      <c r="M27" s="5">
        <v>1013</v>
      </c>
      <c r="N27" s="5">
        <v>10</v>
      </c>
      <c r="O27" s="5">
        <v>22986</v>
      </c>
      <c r="P27" s="5">
        <v>6.8073050345508301</v>
      </c>
      <c r="Q27" s="5">
        <v>0.99999999999984401</v>
      </c>
      <c r="R27" s="5">
        <v>1</v>
      </c>
      <c r="S27" s="5">
        <v>0.99757281553398003</v>
      </c>
    </row>
    <row r="28" spans="1:19" x14ac:dyDescent="0.2">
      <c r="A28" s="5" t="s">
        <v>46</v>
      </c>
      <c r="B28" s="5" t="s">
        <v>851</v>
      </c>
      <c r="C28" s="5" t="s">
        <v>852</v>
      </c>
      <c r="D28" s="5" t="str">
        <f t="shared" si="0"/>
        <v>"ciliary inversin compartment",</v>
      </c>
      <c r="E28" s="5" t="s">
        <v>394</v>
      </c>
      <c r="F28" s="5" t="s">
        <v>597</v>
      </c>
      <c r="G28" s="5" t="str">
        <f t="shared" si="1"/>
        <v>"#0da285",</v>
      </c>
      <c r="H28" s="5">
        <v>3</v>
      </c>
      <c r="I28" s="5">
        <v>0.27173913043478198</v>
      </c>
      <c r="J28" s="5">
        <v>8.18384626010457E-2</v>
      </c>
      <c r="K28" s="9">
        <f t="shared" si="2"/>
        <v>1.0870425377777362</v>
      </c>
      <c r="L28" s="5" t="s">
        <v>552</v>
      </c>
      <c r="M28" s="5">
        <v>1013</v>
      </c>
      <c r="N28" s="5">
        <v>11</v>
      </c>
      <c r="O28" s="5">
        <v>22986</v>
      </c>
      <c r="P28" s="5">
        <v>6.1884591223189398</v>
      </c>
      <c r="Q28" s="5">
        <v>0.999999999999999</v>
      </c>
      <c r="R28" s="5">
        <v>1</v>
      </c>
      <c r="S28" s="5">
        <v>0.99757281553398003</v>
      </c>
    </row>
    <row r="29" spans="1:19" x14ac:dyDescent="0.2">
      <c r="A29" s="5" t="s">
        <v>46</v>
      </c>
      <c r="B29" s="5" t="s">
        <v>733</v>
      </c>
      <c r="C29" s="5" t="s">
        <v>734</v>
      </c>
      <c r="D29" s="5" t="str">
        <f t="shared" si="0"/>
        <v>"NMDA selective glutamate receptor complex",</v>
      </c>
      <c r="E29" s="5" t="s">
        <v>394</v>
      </c>
      <c r="F29" s="5" t="s">
        <v>597</v>
      </c>
      <c r="G29" s="5" t="str">
        <f t="shared" si="1"/>
        <v>"#0da285",</v>
      </c>
      <c r="H29" s="5">
        <v>3</v>
      </c>
      <c r="I29" s="5">
        <v>0.27173913043478198</v>
      </c>
      <c r="J29" s="5">
        <v>8.18384626010457E-2</v>
      </c>
      <c r="K29" s="9">
        <f t="shared" si="2"/>
        <v>1.0870425377777362</v>
      </c>
      <c r="L29" s="5" t="s">
        <v>219</v>
      </c>
      <c r="M29" s="5">
        <v>1013</v>
      </c>
      <c r="N29" s="5">
        <v>11</v>
      </c>
      <c r="O29" s="5">
        <v>22986</v>
      </c>
      <c r="P29" s="5">
        <v>6.1884591223189398</v>
      </c>
      <c r="Q29" s="5">
        <v>0.999999999999999</v>
      </c>
      <c r="R29" s="5">
        <v>1</v>
      </c>
      <c r="S29" s="5">
        <v>0.99757281553398003</v>
      </c>
    </row>
    <row r="30" spans="1:19" x14ac:dyDescent="0.2">
      <c r="A30" s="5" t="s">
        <v>46</v>
      </c>
      <c r="B30" s="5" t="s">
        <v>731</v>
      </c>
      <c r="C30" s="5" t="s">
        <v>732</v>
      </c>
      <c r="D30" s="5" t="str">
        <f t="shared" si="0"/>
        <v>"mitochondrial nucleoid",</v>
      </c>
      <c r="E30" s="5" t="s">
        <v>394</v>
      </c>
      <c r="F30" s="5" t="s">
        <v>597</v>
      </c>
      <c r="G30" s="5" t="str">
        <f t="shared" si="1"/>
        <v>"#0da285",</v>
      </c>
      <c r="H30" s="5">
        <v>3</v>
      </c>
      <c r="I30" s="5">
        <v>0.27173913043478198</v>
      </c>
      <c r="J30" s="5">
        <v>8.18384626010457E-2</v>
      </c>
      <c r="K30" s="9">
        <f t="shared" si="2"/>
        <v>1.0870425377777362</v>
      </c>
      <c r="L30" s="5" t="s">
        <v>254</v>
      </c>
      <c r="M30" s="5">
        <v>1013</v>
      </c>
      <c r="N30" s="5">
        <v>11</v>
      </c>
      <c r="O30" s="5">
        <v>22986</v>
      </c>
      <c r="P30" s="5">
        <v>6.1884591223189398</v>
      </c>
      <c r="Q30" s="5">
        <v>0.999999999999999</v>
      </c>
      <c r="R30" s="5">
        <v>1</v>
      </c>
      <c r="S30" s="5">
        <v>0.99757281553398003</v>
      </c>
    </row>
    <row r="31" spans="1:19" x14ac:dyDescent="0.2">
      <c r="A31" s="5" t="s">
        <v>46</v>
      </c>
      <c r="B31" s="5" t="s">
        <v>853</v>
      </c>
      <c r="C31" s="5" t="s">
        <v>854</v>
      </c>
      <c r="D31" s="5" t="str">
        <f t="shared" si="0"/>
        <v>"condensed chromosome, centromeric region",</v>
      </c>
      <c r="E31" s="5" t="s">
        <v>394</v>
      </c>
      <c r="F31" s="5" t="s">
        <v>597</v>
      </c>
      <c r="G31" s="5" t="str">
        <f t="shared" si="1"/>
        <v>"#0da285",</v>
      </c>
      <c r="H31" s="5">
        <v>2</v>
      </c>
      <c r="I31" s="5">
        <v>0.18115942028985499</v>
      </c>
      <c r="J31" s="5">
        <v>8.6117069941605603E-2</v>
      </c>
      <c r="K31" s="9">
        <f t="shared" si="2"/>
        <v>1.0649107550891459</v>
      </c>
      <c r="L31" s="5" t="s">
        <v>553</v>
      </c>
      <c r="M31" s="5">
        <v>1013</v>
      </c>
      <c r="N31" s="5">
        <v>2</v>
      </c>
      <c r="O31" s="5">
        <v>22986</v>
      </c>
      <c r="P31" s="5">
        <v>22.691016781836101</v>
      </c>
      <c r="Q31" s="5">
        <v>0.999999999999999</v>
      </c>
      <c r="R31" s="5">
        <v>1</v>
      </c>
      <c r="S31" s="5">
        <v>0.99757281553398003</v>
      </c>
    </row>
    <row r="32" spans="1:19" x14ac:dyDescent="0.2">
      <c r="A32" s="5" t="s">
        <v>46</v>
      </c>
      <c r="B32" s="5" t="s">
        <v>855</v>
      </c>
      <c r="C32" s="5" t="s">
        <v>856</v>
      </c>
      <c r="D32" s="5" t="str">
        <f t="shared" si="0"/>
        <v>"Set3 complex",</v>
      </c>
      <c r="E32" s="5" t="s">
        <v>394</v>
      </c>
      <c r="F32" s="5" t="s">
        <v>597</v>
      </c>
      <c r="G32" s="5" t="str">
        <f t="shared" si="1"/>
        <v>"#0da285",</v>
      </c>
      <c r="H32" s="5">
        <v>2</v>
      </c>
      <c r="I32" s="5">
        <v>0.18115942028985499</v>
      </c>
      <c r="J32" s="5">
        <v>8.6117069941605603E-2</v>
      </c>
      <c r="K32" s="9">
        <f t="shared" si="2"/>
        <v>1.0649107550891459</v>
      </c>
      <c r="L32" s="5" t="s">
        <v>554</v>
      </c>
      <c r="M32" s="5">
        <v>1013</v>
      </c>
      <c r="N32" s="5">
        <v>2</v>
      </c>
      <c r="O32" s="5">
        <v>22986</v>
      </c>
      <c r="P32" s="5">
        <v>22.691016781836101</v>
      </c>
      <c r="Q32" s="5">
        <v>0.999999999999999</v>
      </c>
      <c r="R32" s="5">
        <v>1</v>
      </c>
      <c r="S32" s="5">
        <v>0.99757281553398003</v>
      </c>
    </row>
    <row r="33" spans="1:19" x14ac:dyDescent="0.2">
      <c r="A33" s="5" t="s">
        <v>46</v>
      </c>
      <c r="B33" s="5" t="s">
        <v>361</v>
      </c>
      <c r="C33" s="5" t="s">
        <v>362</v>
      </c>
      <c r="D33" s="5" t="str">
        <f t="shared" si="0"/>
        <v>"cytoplasmic side of plasma membrane",</v>
      </c>
      <c r="E33" s="5" t="s">
        <v>394</v>
      </c>
      <c r="F33" s="5" t="s">
        <v>597</v>
      </c>
      <c r="G33" s="5" t="str">
        <f t="shared" si="1"/>
        <v>"#0da285",</v>
      </c>
      <c r="H33" s="5">
        <v>4</v>
      </c>
      <c r="I33" s="5">
        <v>0.36231884057970998</v>
      </c>
      <c r="J33" s="5">
        <v>8.6707113601055402E-2</v>
      </c>
      <c r="K33" s="9">
        <f t="shared" si="2"/>
        <v>1.0619452707942441</v>
      </c>
      <c r="L33" s="5" t="s">
        <v>555</v>
      </c>
      <c r="M33" s="5">
        <v>1013</v>
      </c>
      <c r="N33" s="5">
        <v>24</v>
      </c>
      <c r="O33" s="5">
        <v>22986</v>
      </c>
      <c r="P33" s="5">
        <v>3.7818361303060199</v>
      </c>
      <c r="Q33" s="5">
        <v>1</v>
      </c>
      <c r="R33" s="5">
        <v>1</v>
      </c>
      <c r="S33" s="5">
        <v>0.99757281553398003</v>
      </c>
    </row>
    <row r="34" spans="1:19" x14ac:dyDescent="0.2">
      <c r="A34" s="5" t="s">
        <v>46</v>
      </c>
      <c r="B34" s="5" t="s">
        <v>611</v>
      </c>
      <c r="C34" s="5" t="s">
        <v>612</v>
      </c>
      <c r="D34" s="5" t="str">
        <f t="shared" si="0"/>
        <v>"lysosome",</v>
      </c>
      <c r="E34" s="5" t="s">
        <v>394</v>
      </c>
      <c r="F34" s="5" t="s">
        <v>597</v>
      </c>
      <c r="G34" s="5" t="str">
        <f t="shared" si="1"/>
        <v>"#0da285",</v>
      </c>
      <c r="H34" s="5">
        <v>16</v>
      </c>
      <c r="I34" s="5">
        <v>1.4492753623188399</v>
      </c>
      <c r="J34" s="5">
        <v>9.4977994388796297E-2</v>
      </c>
      <c r="K34" s="9">
        <f t="shared" si="2"/>
        <v>1.0223770054749426</v>
      </c>
      <c r="L34" s="5" t="s">
        <v>556</v>
      </c>
      <c r="M34" s="5">
        <v>1013</v>
      </c>
      <c r="N34" s="5">
        <v>235</v>
      </c>
      <c r="O34" s="5">
        <v>22986</v>
      </c>
      <c r="P34" s="5">
        <v>1.5449202915292599</v>
      </c>
      <c r="Q34" s="5">
        <v>1</v>
      </c>
      <c r="R34" s="5">
        <v>1</v>
      </c>
      <c r="S34" s="5">
        <v>0.99757281553398003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E999-CA6C-A94A-88E0-0F2C7FBEF92C}">
  <dimension ref="A1:S43"/>
  <sheetViews>
    <sheetView workbookViewId="0">
      <selection activeCell="G2" sqref="G2:G10"/>
    </sheetView>
  </sheetViews>
  <sheetFormatPr baseColWidth="10" defaultRowHeight="16" x14ac:dyDescent="0.2"/>
  <cols>
    <col min="1" max="1" width="19.33203125" bestFit="1" customWidth="1"/>
    <col min="2" max="2" width="11.33203125" bestFit="1" customWidth="1"/>
    <col min="3" max="3" width="93.5" bestFit="1" customWidth="1"/>
    <col min="4" max="4" width="95.83203125" bestFit="1" customWidth="1"/>
    <col min="5" max="5" width="17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67</v>
      </c>
      <c r="B2" s="2" t="s">
        <v>324</v>
      </c>
      <c r="C2" s="2" t="s">
        <v>325</v>
      </c>
      <c r="D2" s="2" t="str">
        <f>CHAR(34)&amp;C2&amp;CHAR(34)&amp;","</f>
        <v>"calcium ion binding",</v>
      </c>
      <c r="E2" s="2" t="s">
        <v>393</v>
      </c>
      <c r="F2" s="2" t="s">
        <v>598</v>
      </c>
      <c r="G2" s="2" t="str">
        <f>CHAR(34)&amp;F2&amp;CHAR(34)&amp;","</f>
        <v>"#2c72ae",</v>
      </c>
      <c r="H2" s="2">
        <v>57</v>
      </c>
      <c r="I2" s="2">
        <v>5.1630434782608603</v>
      </c>
      <c r="J2" s="4">
        <v>3.2589380781337203E-4</v>
      </c>
      <c r="K2" s="7">
        <f>-(LOG(J2))</f>
        <v>3.4869238913238458</v>
      </c>
      <c r="L2" s="2" t="s">
        <v>557</v>
      </c>
      <c r="M2" s="2">
        <v>951</v>
      </c>
      <c r="N2" s="2">
        <v>796</v>
      </c>
      <c r="O2" s="2">
        <v>21736</v>
      </c>
      <c r="P2" s="2">
        <v>1.6366691501672399</v>
      </c>
      <c r="Q2" s="2">
        <v>0.23378972454810801</v>
      </c>
      <c r="R2" s="2">
        <v>0.26625524098352399</v>
      </c>
      <c r="S2" s="2">
        <v>0.26592934717571098</v>
      </c>
    </row>
    <row r="3" spans="1:19" x14ac:dyDescent="0.2">
      <c r="A3" s="2" t="s">
        <v>67</v>
      </c>
      <c r="B3" s="2" t="s">
        <v>308</v>
      </c>
      <c r="C3" s="2" t="s">
        <v>309</v>
      </c>
      <c r="D3" s="2" t="str">
        <f t="shared" ref="D3:D43" si="0">CHAR(34)&amp;C3&amp;CHAR(34)&amp;","</f>
        <v>"nucleotide binding",</v>
      </c>
      <c r="E3" s="2" t="s">
        <v>393</v>
      </c>
      <c r="F3" s="2" t="s">
        <v>598</v>
      </c>
      <c r="G3" s="2" t="str">
        <f t="shared" ref="G3:G43" si="1">CHAR(34)&amp;F3&amp;CHAR(34)&amp;","</f>
        <v>"#2c72ae",</v>
      </c>
      <c r="H3" s="2">
        <v>113</v>
      </c>
      <c r="I3" s="2">
        <v>10.2355072463768</v>
      </c>
      <c r="J3" s="2">
        <v>1.10253288904541E-3</v>
      </c>
      <c r="K3" s="7">
        <f t="shared" ref="K3:K43" si="2">-(LOG(J3))</f>
        <v>2.9576084464697452</v>
      </c>
      <c r="L3" s="2" t="s">
        <v>558</v>
      </c>
      <c r="M3" s="2">
        <v>951</v>
      </c>
      <c r="N3" s="2">
        <v>1927</v>
      </c>
      <c r="O3" s="2">
        <v>21736</v>
      </c>
      <c r="P3" s="2">
        <v>1.34028092680416</v>
      </c>
      <c r="Q3" s="2">
        <v>0.59394485341029502</v>
      </c>
      <c r="R3" s="2">
        <v>0.33998283220728998</v>
      </c>
      <c r="S3" s="2">
        <v>0.33956669654975302</v>
      </c>
    </row>
    <row r="4" spans="1:19" x14ac:dyDescent="0.2">
      <c r="A4" s="2" t="s">
        <v>67</v>
      </c>
      <c r="B4" s="2" t="s">
        <v>316</v>
      </c>
      <c r="C4" s="2" t="s">
        <v>317</v>
      </c>
      <c r="D4" s="2" t="str">
        <f t="shared" si="0"/>
        <v>"monoatomic ion channel activity",</v>
      </c>
      <c r="E4" s="2" t="s">
        <v>393</v>
      </c>
      <c r="F4" s="2" t="s">
        <v>598</v>
      </c>
      <c r="G4" s="2" t="str">
        <f t="shared" si="1"/>
        <v>"#2c72ae",</v>
      </c>
      <c r="H4" s="2">
        <v>21</v>
      </c>
      <c r="I4" s="2">
        <v>1.9021739130434701</v>
      </c>
      <c r="J4" s="2">
        <v>1.2484069726093801E-3</v>
      </c>
      <c r="K4" s="7">
        <f t="shared" si="2"/>
        <v>2.9036438143760401</v>
      </c>
      <c r="L4" s="2" t="s">
        <v>559</v>
      </c>
      <c r="M4" s="2">
        <v>951</v>
      </c>
      <c r="N4" s="2">
        <v>215</v>
      </c>
      <c r="O4" s="2">
        <v>21736</v>
      </c>
      <c r="P4" s="2">
        <v>2.23244076003227</v>
      </c>
      <c r="Q4" s="2">
        <v>0.63961619210119902</v>
      </c>
      <c r="R4" s="2">
        <v>0.33998283220728998</v>
      </c>
      <c r="S4" s="2">
        <v>0.33956669654975302</v>
      </c>
    </row>
    <row r="5" spans="1:19" x14ac:dyDescent="0.2">
      <c r="A5" s="2" t="s">
        <v>67</v>
      </c>
      <c r="B5" s="2" t="s">
        <v>631</v>
      </c>
      <c r="C5" s="2" t="s">
        <v>632</v>
      </c>
      <c r="D5" s="2" t="str">
        <f t="shared" si="0"/>
        <v>"guanyl-nucleotide exchange factor activity",</v>
      </c>
      <c r="E5" s="2" t="s">
        <v>393</v>
      </c>
      <c r="F5" s="2" t="s">
        <v>598</v>
      </c>
      <c r="G5" s="2" t="str">
        <f t="shared" si="1"/>
        <v>"#2c72ae",</v>
      </c>
      <c r="H5" s="2">
        <v>23</v>
      </c>
      <c r="I5" s="2">
        <v>2.0833333333333299</v>
      </c>
      <c r="J5" s="2">
        <v>1.92550065274563E-3</v>
      </c>
      <c r="K5" s="7">
        <f t="shared" si="2"/>
        <v>2.7154563298151908</v>
      </c>
      <c r="L5" s="2" t="s">
        <v>560</v>
      </c>
      <c r="M5" s="2">
        <v>951</v>
      </c>
      <c r="N5" s="2">
        <v>255</v>
      </c>
      <c r="O5" s="2">
        <v>21736</v>
      </c>
      <c r="P5" s="2">
        <v>2.0615162573967498</v>
      </c>
      <c r="Q5" s="2">
        <v>0.792920088758576</v>
      </c>
      <c r="R5" s="2">
        <v>0.39328350832329501</v>
      </c>
      <c r="S5" s="2">
        <v>0.39280213316010898</v>
      </c>
    </row>
    <row r="6" spans="1:19" x14ac:dyDescent="0.2">
      <c r="A6" s="2" t="s">
        <v>67</v>
      </c>
      <c r="B6" s="2" t="s">
        <v>312</v>
      </c>
      <c r="C6" s="2" t="s">
        <v>313</v>
      </c>
      <c r="D6" s="2" t="str">
        <f t="shared" si="0"/>
        <v>"hydrolase activity",</v>
      </c>
      <c r="E6" s="2" t="s">
        <v>393</v>
      </c>
      <c r="F6" s="2" t="s">
        <v>598</v>
      </c>
      <c r="G6" s="2" t="str">
        <f t="shared" si="1"/>
        <v>"#2c72ae",</v>
      </c>
      <c r="H6" s="2">
        <v>90</v>
      </c>
      <c r="I6" s="2">
        <v>8.1521739130434696</v>
      </c>
      <c r="J6" s="2">
        <v>2.46692335401491E-3</v>
      </c>
      <c r="K6" s="7">
        <f t="shared" si="2"/>
        <v>2.6078443435972045</v>
      </c>
      <c r="L6" s="2" t="s">
        <v>561</v>
      </c>
      <c r="M6" s="2">
        <v>951</v>
      </c>
      <c r="N6" s="2">
        <v>1512</v>
      </c>
      <c r="O6" s="2">
        <v>21736</v>
      </c>
      <c r="P6" s="2">
        <v>1.36047268539382</v>
      </c>
      <c r="Q6" s="2">
        <v>0.867074504139559</v>
      </c>
      <c r="R6" s="2">
        <v>0.40309527604603701</v>
      </c>
      <c r="S6" s="2">
        <v>0.402601891375234</v>
      </c>
    </row>
    <row r="7" spans="1:19" x14ac:dyDescent="0.2">
      <c r="A7" s="2" t="s">
        <v>67</v>
      </c>
      <c r="B7" s="2" t="s">
        <v>625</v>
      </c>
      <c r="C7" s="2" t="s">
        <v>626</v>
      </c>
      <c r="D7" s="2" t="str">
        <f t="shared" si="0"/>
        <v>"L-amino acid transmembrane transporter activity",</v>
      </c>
      <c r="E7" s="2" t="s">
        <v>393</v>
      </c>
      <c r="F7" s="2" t="s">
        <v>598</v>
      </c>
      <c r="G7" s="2" t="str">
        <f t="shared" si="1"/>
        <v>"#2c72ae",</v>
      </c>
      <c r="H7" s="2">
        <v>6</v>
      </c>
      <c r="I7" s="2">
        <v>0.54347826086956497</v>
      </c>
      <c r="J7" s="2">
        <v>4.04054256438634E-3</v>
      </c>
      <c r="K7" s="7">
        <f t="shared" si="2"/>
        <v>2.3935603138750472</v>
      </c>
      <c r="L7" s="2" t="s">
        <v>562</v>
      </c>
      <c r="M7" s="2">
        <v>951</v>
      </c>
      <c r="N7" s="2">
        <v>25</v>
      </c>
      <c r="O7" s="2">
        <v>21736</v>
      </c>
      <c r="P7" s="2">
        <v>5.48542586750788</v>
      </c>
      <c r="Q7" s="2">
        <v>0.96340378499065404</v>
      </c>
      <c r="R7" s="2">
        <v>0.55018721251727398</v>
      </c>
      <c r="S7" s="2">
        <v>0.549513788756543</v>
      </c>
    </row>
    <row r="8" spans="1:19" x14ac:dyDescent="0.2">
      <c r="A8" s="2" t="s">
        <v>67</v>
      </c>
      <c r="B8" s="2" t="s">
        <v>320</v>
      </c>
      <c r="C8" s="2" t="s">
        <v>321</v>
      </c>
      <c r="D8" s="2" t="str">
        <f t="shared" si="0"/>
        <v>"voltage-gated calcium channel activity",</v>
      </c>
      <c r="E8" s="2" t="s">
        <v>393</v>
      </c>
      <c r="F8" s="2" t="s">
        <v>598</v>
      </c>
      <c r="G8" s="2" t="str">
        <f t="shared" si="1"/>
        <v>"#2c72ae",</v>
      </c>
      <c r="H8" s="2">
        <v>8</v>
      </c>
      <c r="I8" s="2">
        <v>0.72463768115941996</v>
      </c>
      <c r="J8" s="2">
        <v>6.4418439636407896E-3</v>
      </c>
      <c r="K8" s="7">
        <f t="shared" si="2"/>
        <v>2.1909897990056932</v>
      </c>
      <c r="L8" s="2" t="s">
        <v>563</v>
      </c>
      <c r="M8" s="2">
        <v>951</v>
      </c>
      <c r="N8" s="2">
        <v>51</v>
      </c>
      <c r="O8" s="2">
        <v>21736</v>
      </c>
      <c r="P8" s="2">
        <v>3.5852456650378302</v>
      </c>
      <c r="Q8" s="2">
        <v>0.99490762695927704</v>
      </c>
      <c r="R8" s="2">
        <v>0.69996171760168902</v>
      </c>
      <c r="S8" s="2">
        <v>0.69910497131331495</v>
      </c>
    </row>
    <row r="9" spans="1:19" x14ac:dyDescent="0.2">
      <c r="A9" s="2" t="s">
        <v>67</v>
      </c>
      <c r="B9" s="2" t="s">
        <v>322</v>
      </c>
      <c r="C9" s="2" t="s">
        <v>323</v>
      </c>
      <c r="D9" s="2" t="str">
        <f t="shared" si="0"/>
        <v>"calcium channel activity",</v>
      </c>
      <c r="E9" s="2" t="s">
        <v>393</v>
      </c>
      <c r="F9" s="2" t="s">
        <v>598</v>
      </c>
      <c r="G9" s="2" t="str">
        <f t="shared" si="1"/>
        <v>"#2c72ae",</v>
      </c>
      <c r="H9" s="2">
        <v>11</v>
      </c>
      <c r="I9" s="2">
        <v>0.99637681159420199</v>
      </c>
      <c r="J9" s="2">
        <v>6.8539703069932798E-3</v>
      </c>
      <c r="K9" s="7">
        <f t="shared" si="2"/>
        <v>2.1640577813676201</v>
      </c>
      <c r="L9" s="2" t="s">
        <v>564</v>
      </c>
      <c r="M9" s="2">
        <v>951</v>
      </c>
      <c r="N9" s="2">
        <v>92</v>
      </c>
      <c r="O9" s="2">
        <v>21736</v>
      </c>
      <c r="P9" s="2">
        <v>2.7327755680519301</v>
      </c>
      <c r="Q9" s="2">
        <v>0.99637163065102996</v>
      </c>
      <c r="R9" s="2">
        <v>0.69996171760168902</v>
      </c>
      <c r="S9" s="2">
        <v>0.69910497131331495</v>
      </c>
    </row>
    <row r="10" spans="1:19" x14ac:dyDescent="0.2">
      <c r="A10" s="2" t="s">
        <v>67</v>
      </c>
      <c r="B10" s="2" t="s">
        <v>338</v>
      </c>
      <c r="C10" s="2" t="s">
        <v>339</v>
      </c>
      <c r="D10" s="2" t="str">
        <f t="shared" si="0"/>
        <v>"kinase activity",</v>
      </c>
      <c r="E10" s="2" t="s">
        <v>393</v>
      </c>
      <c r="F10" s="2" t="s">
        <v>598</v>
      </c>
      <c r="G10" s="2" t="str">
        <f t="shared" si="1"/>
        <v>"#2c72ae",</v>
      </c>
      <c r="H10" s="2">
        <v>60</v>
      </c>
      <c r="I10" s="2">
        <v>5.4347826086956497</v>
      </c>
      <c r="J10" s="2">
        <v>8.7771171329032605E-3</v>
      </c>
      <c r="K10" s="7">
        <f t="shared" si="2"/>
        <v>2.0566481058323012</v>
      </c>
      <c r="L10" s="2" t="s">
        <v>565</v>
      </c>
      <c r="M10" s="2">
        <v>951</v>
      </c>
      <c r="N10" s="2">
        <v>984</v>
      </c>
      <c r="O10" s="2">
        <v>21736</v>
      </c>
      <c r="P10" s="2">
        <v>1.39365494601318</v>
      </c>
      <c r="Q10" s="2">
        <v>0.999255323004823</v>
      </c>
      <c r="R10" s="2">
        <v>0.79340042076852502</v>
      </c>
      <c r="S10" s="2">
        <v>0.79242930642241904</v>
      </c>
    </row>
    <row r="11" spans="1:19" x14ac:dyDescent="0.2">
      <c r="A11" t="s">
        <v>67</v>
      </c>
      <c r="B11" t="s">
        <v>745</v>
      </c>
      <c r="C11" t="s">
        <v>746</v>
      </c>
      <c r="D11" t="str">
        <f t="shared" si="0"/>
        <v>"1-acylglycerol-3-phosphate O-acyltransferase activity",</v>
      </c>
      <c r="E11" t="s">
        <v>393</v>
      </c>
      <c r="F11" t="s">
        <v>598</v>
      </c>
      <c r="G11" t="str">
        <f t="shared" si="1"/>
        <v>"#2c72ae",</v>
      </c>
      <c r="H11">
        <v>4</v>
      </c>
      <c r="I11">
        <v>0.36231884057970998</v>
      </c>
      <c r="J11">
        <v>1.05508169974562E-2</v>
      </c>
      <c r="K11" s="8">
        <f t="shared" si="2"/>
        <v>1.9767139096791757</v>
      </c>
      <c r="L11" t="s">
        <v>566</v>
      </c>
      <c r="M11">
        <v>951</v>
      </c>
      <c r="N11">
        <v>11</v>
      </c>
      <c r="O11">
        <v>21736</v>
      </c>
      <c r="P11">
        <v>8.3112513144058795</v>
      </c>
      <c r="Q11">
        <v>0.99982762082685095</v>
      </c>
      <c r="R11">
        <v>0.79340042076852502</v>
      </c>
      <c r="S11">
        <v>0.79242930642241904</v>
      </c>
    </row>
    <row r="12" spans="1:19" x14ac:dyDescent="0.2">
      <c r="A12" t="s">
        <v>67</v>
      </c>
      <c r="B12" t="s">
        <v>857</v>
      </c>
      <c r="C12" t="s">
        <v>858</v>
      </c>
      <c r="D12" t="str">
        <f t="shared" si="0"/>
        <v>"sequence-specific DNA binding",</v>
      </c>
      <c r="E12" t="s">
        <v>393</v>
      </c>
      <c r="F12" t="s">
        <v>598</v>
      </c>
      <c r="G12" t="str">
        <f t="shared" si="1"/>
        <v>"#2c72ae",</v>
      </c>
      <c r="H12">
        <v>23</v>
      </c>
      <c r="I12">
        <v>2.0833333333333299</v>
      </c>
      <c r="J12">
        <v>1.06822578071649E-2</v>
      </c>
      <c r="K12" s="8">
        <f t="shared" si="2"/>
        <v>1.9713369449141556</v>
      </c>
      <c r="L12" t="s">
        <v>567</v>
      </c>
      <c r="M12">
        <v>951</v>
      </c>
      <c r="N12">
        <v>295</v>
      </c>
      <c r="O12">
        <v>21736</v>
      </c>
      <c r="P12">
        <v>1.7819886292751601</v>
      </c>
      <c r="Q12">
        <v>0.99984535114571604</v>
      </c>
      <c r="R12">
        <v>0.79340042076852502</v>
      </c>
      <c r="S12">
        <v>0.79242930642241904</v>
      </c>
    </row>
    <row r="13" spans="1:19" x14ac:dyDescent="0.2">
      <c r="A13" t="s">
        <v>67</v>
      </c>
      <c r="B13" t="s">
        <v>346</v>
      </c>
      <c r="C13" t="s">
        <v>347</v>
      </c>
      <c r="D13" t="str">
        <f t="shared" si="0"/>
        <v>"metal ion binding",</v>
      </c>
      <c r="E13" t="s">
        <v>393</v>
      </c>
      <c r="F13" t="s">
        <v>598</v>
      </c>
      <c r="G13" t="str">
        <f t="shared" si="1"/>
        <v>"#2c72ae",</v>
      </c>
      <c r="H13">
        <v>196</v>
      </c>
      <c r="I13">
        <v>17.753623188405701</v>
      </c>
      <c r="J13">
        <v>1.26074924462517E-2</v>
      </c>
      <c r="K13" s="8">
        <f t="shared" si="2"/>
        <v>1.899371283375229</v>
      </c>
      <c r="L13" t="s">
        <v>568</v>
      </c>
      <c r="M13">
        <v>951</v>
      </c>
      <c r="N13">
        <v>3850</v>
      </c>
      <c r="O13">
        <v>21736</v>
      </c>
      <c r="P13">
        <v>1.16357518401682</v>
      </c>
      <c r="Q13">
        <v>0.99996850881506505</v>
      </c>
      <c r="R13">
        <v>0.858360110715641</v>
      </c>
      <c r="S13">
        <v>0.85730948634512005</v>
      </c>
    </row>
    <row r="14" spans="1:19" x14ac:dyDescent="0.2">
      <c r="A14" t="s">
        <v>67</v>
      </c>
      <c r="B14" t="s">
        <v>859</v>
      </c>
      <c r="C14" t="s">
        <v>860</v>
      </c>
      <c r="D14" t="str">
        <f t="shared" si="0"/>
        <v>"myosin phosphatase activity",</v>
      </c>
      <c r="E14" t="s">
        <v>393</v>
      </c>
      <c r="F14" t="s">
        <v>598</v>
      </c>
      <c r="G14" t="str">
        <f t="shared" si="1"/>
        <v>"#2c72ae",</v>
      </c>
      <c r="H14">
        <v>10</v>
      </c>
      <c r="I14">
        <v>0.90579710144927505</v>
      </c>
      <c r="J14">
        <v>1.6780909219575601E-2</v>
      </c>
      <c r="K14" s="8">
        <f t="shared" si="2"/>
        <v>1.7751845120206098</v>
      </c>
      <c r="L14" t="s">
        <v>569</v>
      </c>
      <c r="M14">
        <v>951</v>
      </c>
      <c r="N14">
        <v>90</v>
      </c>
      <c r="O14">
        <v>21736</v>
      </c>
      <c r="P14">
        <v>2.5395490127351299</v>
      </c>
      <c r="Q14">
        <v>0.99999901077033504</v>
      </c>
      <c r="R14">
        <v>0.95563862636389496</v>
      </c>
      <c r="S14">
        <v>0.95446893404276401</v>
      </c>
    </row>
    <row r="15" spans="1:19" x14ac:dyDescent="0.2">
      <c r="A15" t="s">
        <v>67</v>
      </c>
      <c r="B15" t="s">
        <v>300</v>
      </c>
      <c r="C15" t="s">
        <v>301</v>
      </c>
      <c r="D15" t="str">
        <f t="shared" si="0"/>
        <v>"ATP binding",</v>
      </c>
      <c r="E15" t="s">
        <v>393</v>
      </c>
      <c r="F15" t="s">
        <v>598</v>
      </c>
      <c r="G15" t="str">
        <f t="shared" si="1"/>
        <v>"#2c72ae",</v>
      </c>
      <c r="H15">
        <v>104</v>
      </c>
      <c r="I15">
        <v>9.4202898550724594</v>
      </c>
      <c r="J15">
        <v>1.7030170862822901E-2</v>
      </c>
      <c r="K15" s="8">
        <f t="shared" si="2"/>
        <v>1.7687809947614799</v>
      </c>
      <c r="L15" t="s">
        <v>570</v>
      </c>
      <c r="M15">
        <v>951</v>
      </c>
      <c r="N15">
        <v>1921</v>
      </c>
      <c r="O15">
        <v>21736</v>
      </c>
      <c r="P15">
        <v>1.2373856720042</v>
      </c>
      <c r="Q15">
        <v>0.99999919585644903</v>
      </c>
      <c r="R15">
        <v>0.95563862636389496</v>
      </c>
      <c r="S15">
        <v>0.95446893404276401</v>
      </c>
    </row>
    <row r="16" spans="1:19" x14ac:dyDescent="0.2">
      <c r="A16" t="s">
        <v>67</v>
      </c>
      <c r="B16" t="s">
        <v>687</v>
      </c>
      <c r="C16" t="s">
        <v>688</v>
      </c>
      <c r="D16" t="str">
        <f t="shared" si="0"/>
        <v>"transferase activity",</v>
      </c>
      <c r="E16" t="s">
        <v>393</v>
      </c>
      <c r="F16" t="s">
        <v>598</v>
      </c>
      <c r="G16" t="str">
        <f t="shared" si="1"/>
        <v>"#2c72ae",</v>
      </c>
      <c r="H16">
        <v>112</v>
      </c>
      <c r="I16">
        <v>10.144927536231799</v>
      </c>
      <c r="J16">
        <v>1.89069714361134E-2</v>
      </c>
      <c r="K16" s="8">
        <f t="shared" si="2"/>
        <v>1.7233780319123084</v>
      </c>
      <c r="L16" t="s">
        <v>571</v>
      </c>
      <c r="M16">
        <v>951</v>
      </c>
      <c r="N16">
        <v>2098</v>
      </c>
      <c r="O16">
        <v>21736</v>
      </c>
      <c r="P16">
        <v>1.2201455695123899</v>
      </c>
      <c r="Q16">
        <v>0.99999983125729597</v>
      </c>
      <c r="R16">
        <v>0.95563862636389496</v>
      </c>
      <c r="S16">
        <v>0.95446893404276401</v>
      </c>
    </row>
    <row r="17" spans="1:19" x14ac:dyDescent="0.2">
      <c r="A17" t="s">
        <v>67</v>
      </c>
      <c r="B17" t="s">
        <v>861</v>
      </c>
      <c r="C17" t="s">
        <v>862</v>
      </c>
      <c r="D17" t="str">
        <f t="shared" si="0"/>
        <v>"integrin binding",</v>
      </c>
      <c r="E17" t="s">
        <v>393</v>
      </c>
      <c r="F17" t="s">
        <v>598</v>
      </c>
      <c r="G17" t="str">
        <f t="shared" si="1"/>
        <v>"#2c72ae",</v>
      </c>
      <c r="H17">
        <v>10</v>
      </c>
      <c r="I17">
        <v>0.90579710144927505</v>
      </c>
      <c r="J17">
        <v>1.91262287965803E-2</v>
      </c>
      <c r="K17" s="8">
        <f t="shared" si="2"/>
        <v>1.7183706533021401</v>
      </c>
      <c r="L17" t="s">
        <v>572</v>
      </c>
      <c r="M17">
        <v>951</v>
      </c>
      <c r="N17">
        <v>92</v>
      </c>
      <c r="O17">
        <v>21736</v>
      </c>
      <c r="P17">
        <v>2.4843414255017602</v>
      </c>
      <c r="Q17">
        <v>0.99999985942104497</v>
      </c>
      <c r="R17">
        <v>0.95563862636389496</v>
      </c>
      <c r="S17">
        <v>0.95446893404276401</v>
      </c>
    </row>
    <row r="18" spans="1:19" x14ac:dyDescent="0.2">
      <c r="A18" t="s">
        <v>67</v>
      </c>
      <c r="B18" t="s">
        <v>863</v>
      </c>
      <c r="C18" t="s">
        <v>864</v>
      </c>
      <c r="D18" t="str">
        <f t="shared" si="0"/>
        <v>"catalytic activity",</v>
      </c>
      <c r="E18" t="s">
        <v>393</v>
      </c>
      <c r="F18" t="s">
        <v>598</v>
      </c>
      <c r="G18" t="str">
        <f t="shared" si="1"/>
        <v>"#2c72ae",</v>
      </c>
      <c r="H18">
        <v>22</v>
      </c>
      <c r="I18">
        <v>1.9927536231884</v>
      </c>
      <c r="J18">
        <v>1.98847694592242E-2</v>
      </c>
      <c r="K18" s="8">
        <f t="shared" si="2"/>
        <v>1.701479439788244</v>
      </c>
      <c r="L18" t="s">
        <v>573</v>
      </c>
      <c r="M18">
        <v>951</v>
      </c>
      <c r="N18">
        <v>295</v>
      </c>
      <c r="O18">
        <v>21736</v>
      </c>
      <c r="P18">
        <v>1.7045108627849299</v>
      </c>
      <c r="Q18">
        <v>0.99999992528260295</v>
      </c>
      <c r="R18">
        <v>0.95563862636389496</v>
      </c>
      <c r="S18">
        <v>0.95446893404276401</v>
      </c>
    </row>
    <row r="19" spans="1:19" x14ac:dyDescent="0.2">
      <c r="A19" t="s">
        <v>67</v>
      </c>
      <c r="B19" t="s">
        <v>344</v>
      </c>
      <c r="C19" t="s">
        <v>345</v>
      </c>
      <c r="D19" t="str">
        <f t="shared" si="0"/>
        <v>"ligand-gated monoatomic ion channel activity",</v>
      </c>
      <c r="E19" t="s">
        <v>393</v>
      </c>
      <c r="F19" t="s">
        <v>598</v>
      </c>
      <c r="G19" t="str">
        <f t="shared" si="1"/>
        <v>"#2c72ae",</v>
      </c>
      <c r="H19">
        <v>6</v>
      </c>
      <c r="I19">
        <v>0.54347826086956497</v>
      </c>
      <c r="J19">
        <v>2.3970454569123702E-2</v>
      </c>
      <c r="K19" s="8">
        <f t="shared" si="2"/>
        <v>1.6203237300468563</v>
      </c>
      <c r="L19" t="s">
        <v>509</v>
      </c>
      <c r="M19">
        <v>951</v>
      </c>
      <c r="N19">
        <v>38</v>
      </c>
      <c r="O19">
        <v>21736</v>
      </c>
      <c r="P19">
        <v>3.6088328075709701</v>
      </c>
      <c r="Q19">
        <v>0.99999999753826097</v>
      </c>
      <c r="R19">
        <v>1</v>
      </c>
      <c r="S19">
        <v>1</v>
      </c>
    </row>
    <row r="20" spans="1:19" x14ac:dyDescent="0.2">
      <c r="A20" t="s">
        <v>67</v>
      </c>
      <c r="B20" t="s">
        <v>334</v>
      </c>
      <c r="C20" t="s">
        <v>335</v>
      </c>
      <c r="D20" t="str">
        <f t="shared" si="0"/>
        <v>"protein binding",</v>
      </c>
      <c r="E20" t="s">
        <v>393</v>
      </c>
      <c r="F20" t="s">
        <v>598</v>
      </c>
      <c r="G20" t="str">
        <f t="shared" si="1"/>
        <v>"#2c72ae",</v>
      </c>
      <c r="H20">
        <v>26</v>
      </c>
      <c r="I20">
        <v>2.35507246376811</v>
      </c>
      <c r="J20">
        <v>2.7393387360693099E-2</v>
      </c>
      <c r="K20" s="8">
        <f t="shared" si="2"/>
        <v>1.5623542612437584</v>
      </c>
      <c r="L20" t="s">
        <v>574</v>
      </c>
      <c r="M20">
        <v>951</v>
      </c>
      <c r="N20">
        <v>379</v>
      </c>
      <c r="O20">
        <v>21736</v>
      </c>
      <c r="P20">
        <v>1.5679537440105999</v>
      </c>
      <c r="Q20">
        <v>0.99999999986045696</v>
      </c>
      <c r="R20">
        <v>1</v>
      </c>
      <c r="S20">
        <v>1</v>
      </c>
    </row>
    <row r="21" spans="1:19" x14ac:dyDescent="0.2">
      <c r="A21" t="s">
        <v>67</v>
      </c>
      <c r="B21" t="s">
        <v>310</v>
      </c>
      <c r="C21" t="s">
        <v>311</v>
      </c>
      <c r="D21" t="str">
        <f t="shared" si="0"/>
        <v>"fibroblast growth factor binding",</v>
      </c>
      <c r="E21" t="s">
        <v>393</v>
      </c>
      <c r="F21" t="s">
        <v>598</v>
      </c>
      <c r="G21" t="str">
        <f t="shared" si="1"/>
        <v>"#2c72ae",</v>
      </c>
      <c r="H21">
        <v>4</v>
      </c>
      <c r="I21">
        <v>0.36231884057970998</v>
      </c>
      <c r="J21">
        <v>3.04454036317332E-2</v>
      </c>
      <c r="K21" s="8">
        <f t="shared" si="2"/>
        <v>1.5164782638865992</v>
      </c>
      <c r="L21" t="s">
        <v>112</v>
      </c>
      <c r="M21">
        <v>951</v>
      </c>
      <c r="N21">
        <v>16</v>
      </c>
      <c r="O21">
        <v>21736</v>
      </c>
      <c r="P21">
        <v>5.7139852786540404</v>
      </c>
      <c r="Q21">
        <v>0.99999999998929601</v>
      </c>
      <c r="R21">
        <v>1</v>
      </c>
      <c r="S21">
        <v>1</v>
      </c>
    </row>
    <row r="22" spans="1:19" x14ac:dyDescent="0.2">
      <c r="A22" t="s">
        <v>67</v>
      </c>
      <c r="B22" t="s">
        <v>741</v>
      </c>
      <c r="C22" t="s">
        <v>742</v>
      </c>
      <c r="D22" t="str">
        <f t="shared" si="0"/>
        <v>"DNA binding",</v>
      </c>
      <c r="E22" t="s">
        <v>393</v>
      </c>
      <c r="F22" t="s">
        <v>598</v>
      </c>
      <c r="G22" t="str">
        <f t="shared" si="1"/>
        <v>"#2c72ae",</v>
      </c>
      <c r="H22">
        <v>91</v>
      </c>
      <c r="I22">
        <v>8.2427536231884009</v>
      </c>
      <c r="J22">
        <v>3.2041164500568597E-2</v>
      </c>
      <c r="K22" s="8">
        <f t="shared" si="2"/>
        <v>1.4942917083499474</v>
      </c>
      <c r="L22" t="s">
        <v>575</v>
      </c>
      <c r="M22">
        <v>951</v>
      </c>
      <c r="N22">
        <v>1696</v>
      </c>
      <c r="O22">
        <v>21736</v>
      </c>
      <c r="P22">
        <v>1.2263506140507501</v>
      </c>
      <c r="Q22">
        <v>0.99999999999721301</v>
      </c>
      <c r="R22">
        <v>1</v>
      </c>
      <c r="S22">
        <v>1</v>
      </c>
    </row>
    <row r="23" spans="1:19" x14ac:dyDescent="0.2">
      <c r="A23" t="s">
        <v>67</v>
      </c>
      <c r="B23" t="s">
        <v>749</v>
      </c>
      <c r="C23" t="s">
        <v>750</v>
      </c>
      <c r="D23" t="str">
        <f t="shared" si="0"/>
        <v>"ubiquitin-protein transferase activity",</v>
      </c>
      <c r="E23" t="s">
        <v>393</v>
      </c>
      <c r="F23" t="s">
        <v>598</v>
      </c>
      <c r="G23" t="str">
        <f t="shared" si="1"/>
        <v>"#2c72ae",</v>
      </c>
      <c r="H23">
        <v>14</v>
      </c>
      <c r="I23">
        <v>1.26811594202898</v>
      </c>
      <c r="J23">
        <v>3.3216901005318197E-2</v>
      </c>
      <c r="K23" s="8">
        <f t="shared" si="2"/>
        <v>1.478640887810875</v>
      </c>
      <c r="L23" t="s">
        <v>576</v>
      </c>
      <c r="M23">
        <v>951</v>
      </c>
      <c r="N23">
        <v>168</v>
      </c>
      <c r="O23">
        <v>21736</v>
      </c>
      <c r="P23">
        <v>1.90466175955134</v>
      </c>
      <c r="Q23">
        <v>0.99999999999896705</v>
      </c>
      <c r="R23">
        <v>1</v>
      </c>
      <c r="S23">
        <v>1</v>
      </c>
    </row>
    <row r="24" spans="1:19" x14ac:dyDescent="0.2">
      <c r="A24" t="s">
        <v>67</v>
      </c>
      <c r="B24" t="s">
        <v>747</v>
      </c>
      <c r="C24" t="s">
        <v>748</v>
      </c>
      <c r="D24" t="str">
        <f t="shared" si="0"/>
        <v>"transcription cis-regulatory region binding",</v>
      </c>
      <c r="E24" t="s">
        <v>393</v>
      </c>
      <c r="F24" t="s">
        <v>598</v>
      </c>
      <c r="G24" t="str">
        <f t="shared" si="1"/>
        <v>"#2c72ae",</v>
      </c>
      <c r="H24">
        <v>9</v>
      </c>
      <c r="I24">
        <v>0.81521739130434701</v>
      </c>
      <c r="J24">
        <v>3.84957391648287E-2</v>
      </c>
      <c r="K24" s="8">
        <f t="shared" si="2"/>
        <v>1.4145873369747919</v>
      </c>
      <c r="L24" t="s">
        <v>577</v>
      </c>
      <c r="M24">
        <v>951</v>
      </c>
      <c r="N24">
        <v>88</v>
      </c>
      <c r="O24">
        <v>21736</v>
      </c>
      <c r="P24">
        <v>2.3375394321766501</v>
      </c>
      <c r="Q24">
        <v>0.99999999999998801</v>
      </c>
      <c r="R24">
        <v>1</v>
      </c>
      <c r="S24">
        <v>1</v>
      </c>
    </row>
    <row r="25" spans="1:19" x14ac:dyDescent="0.2">
      <c r="A25" t="s">
        <v>67</v>
      </c>
      <c r="B25" t="s">
        <v>693</v>
      </c>
      <c r="C25" t="s">
        <v>694</v>
      </c>
      <c r="D25" t="str">
        <f t="shared" si="0"/>
        <v>"transmitter-gated monoatomic ion channel activity involved in regulation of postsynaptic membrane potential",</v>
      </c>
      <c r="E25" t="s">
        <v>393</v>
      </c>
      <c r="F25" t="s">
        <v>598</v>
      </c>
      <c r="G25" t="str">
        <f t="shared" si="1"/>
        <v>"#2c72ae",</v>
      </c>
      <c r="H25">
        <v>6</v>
      </c>
      <c r="I25">
        <v>0.54347826086956497</v>
      </c>
      <c r="J25">
        <v>4.5570657890002003E-2</v>
      </c>
      <c r="K25" s="8">
        <f t="shared" si="2"/>
        <v>1.3413147015923341</v>
      </c>
      <c r="L25" t="s">
        <v>509</v>
      </c>
      <c r="M25">
        <v>951</v>
      </c>
      <c r="N25">
        <v>45</v>
      </c>
      <c r="O25">
        <v>21736</v>
      </c>
      <c r="P25">
        <v>3.04745881528215</v>
      </c>
      <c r="Q25">
        <v>1</v>
      </c>
      <c r="R25">
        <v>1</v>
      </c>
      <c r="S25">
        <v>1</v>
      </c>
    </row>
    <row r="26" spans="1:19" x14ac:dyDescent="0.2">
      <c r="A26" s="5" t="s">
        <v>67</v>
      </c>
      <c r="B26" s="5" t="s">
        <v>865</v>
      </c>
      <c r="C26" s="5" t="s">
        <v>866</v>
      </c>
      <c r="D26" s="5" t="str">
        <f t="shared" si="0"/>
        <v>"actin binding",</v>
      </c>
      <c r="E26" s="5" t="s">
        <v>393</v>
      </c>
      <c r="F26" s="5" t="s">
        <v>598</v>
      </c>
      <c r="G26" s="5" t="str">
        <f t="shared" si="1"/>
        <v>"#2c72ae",</v>
      </c>
      <c r="H26" s="5">
        <v>23</v>
      </c>
      <c r="I26" s="5">
        <v>2.0833333333333299</v>
      </c>
      <c r="J26" s="5">
        <v>5.0032835688254798E-2</v>
      </c>
      <c r="K26" s="9">
        <f t="shared" si="2"/>
        <v>1.3007448821083649</v>
      </c>
      <c r="L26" s="5" t="s">
        <v>578</v>
      </c>
      <c r="M26" s="5">
        <v>951</v>
      </c>
      <c r="N26" s="5">
        <v>345</v>
      </c>
      <c r="O26" s="5">
        <v>21736</v>
      </c>
      <c r="P26" s="5">
        <v>1.5237294076410699</v>
      </c>
      <c r="Q26" s="5">
        <v>1</v>
      </c>
      <c r="R26" s="5">
        <v>1</v>
      </c>
      <c r="S26" s="5">
        <v>1</v>
      </c>
    </row>
    <row r="27" spans="1:19" x14ac:dyDescent="0.2">
      <c r="A27" s="5" t="s">
        <v>67</v>
      </c>
      <c r="B27" s="5" t="s">
        <v>302</v>
      </c>
      <c r="C27" s="5" t="s">
        <v>303</v>
      </c>
      <c r="D27" s="5" t="str">
        <f t="shared" si="0"/>
        <v>"transmembrane receptor protein tyrosine kinase activity",</v>
      </c>
      <c r="E27" s="5" t="s">
        <v>393</v>
      </c>
      <c r="F27" s="5" t="s">
        <v>598</v>
      </c>
      <c r="G27" s="5" t="str">
        <f t="shared" si="1"/>
        <v>"#2c72ae",</v>
      </c>
      <c r="H27" s="5">
        <v>8</v>
      </c>
      <c r="I27" s="5">
        <v>0.72463768115941996</v>
      </c>
      <c r="J27" s="5">
        <v>5.4018731955253703E-2</v>
      </c>
      <c r="K27" s="9">
        <f t="shared" si="2"/>
        <v>1.2674556147301996</v>
      </c>
      <c r="L27" s="5" t="s">
        <v>579</v>
      </c>
      <c r="M27" s="5">
        <v>951</v>
      </c>
      <c r="N27" s="5">
        <v>78</v>
      </c>
      <c r="O27" s="5">
        <v>21736</v>
      </c>
      <c r="P27" s="5">
        <v>2.3441990886785802</v>
      </c>
      <c r="Q27" s="5">
        <v>1</v>
      </c>
      <c r="R27" s="5">
        <v>1</v>
      </c>
      <c r="S27" s="5">
        <v>1</v>
      </c>
    </row>
    <row r="28" spans="1:19" x14ac:dyDescent="0.2">
      <c r="A28" s="5" t="s">
        <v>67</v>
      </c>
      <c r="B28" s="5" t="s">
        <v>867</v>
      </c>
      <c r="C28" s="5" t="s">
        <v>868</v>
      </c>
      <c r="D28" s="5" t="str">
        <f t="shared" si="0"/>
        <v>"O-acyltransferase activity",</v>
      </c>
      <c r="E28" s="5" t="s">
        <v>393</v>
      </c>
      <c r="F28" s="5" t="s">
        <v>598</v>
      </c>
      <c r="G28" s="5" t="str">
        <f t="shared" si="1"/>
        <v>"#2c72ae",</v>
      </c>
      <c r="H28" s="5">
        <v>4</v>
      </c>
      <c r="I28" s="5">
        <v>0.36231884057970998</v>
      </c>
      <c r="J28" s="5">
        <v>6.1603234709510298E-2</v>
      </c>
      <c r="K28" s="9">
        <f t="shared" si="2"/>
        <v>1.2103964829718139</v>
      </c>
      <c r="L28" s="5" t="s">
        <v>580</v>
      </c>
      <c r="M28" s="5">
        <v>951</v>
      </c>
      <c r="N28" s="5">
        <v>21</v>
      </c>
      <c r="O28" s="5">
        <v>21736</v>
      </c>
      <c r="P28" s="5">
        <v>4.3535125932602199</v>
      </c>
      <c r="Q28" s="5">
        <v>1</v>
      </c>
      <c r="R28" s="5">
        <v>1</v>
      </c>
      <c r="S28" s="5">
        <v>1</v>
      </c>
    </row>
    <row r="29" spans="1:19" x14ac:dyDescent="0.2">
      <c r="A29" s="5" t="s">
        <v>67</v>
      </c>
      <c r="B29" s="5" t="s">
        <v>304</v>
      </c>
      <c r="C29" s="5" t="s">
        <v>305</v>
      </c>
      <c r="D29" s="5" t="str">
        <f t="shared" si="0"/>
        <v>"ATP-dependent chromatin remodeler activity",</v>
      </c>
      <c r="E29" s="5" t="s">
        <v>393</v>
      </c>
      <c r="F29" s="5" t="s">
        <v>598</v>
      </c>
      <c r="G29" s="5" t="str">
        <f t="shared" si="1"/>
        <v>"#2c72ae",</v>
      </c>
      <c r="H29" s="5">
        <v>5</v>
      </c>
      <c r="I29" s="5">
        <v>0.45289855072463697</v>
      </c>
      <c r="J29" s="5">
        <v>6.4993554067065695E-2</v>
      </c>
      <c r="K29" s="9">
        <f t="shared" si="2"/>
        <v>1.187129713694385</v>
      </c>
      <c r="L29" s="5" t="s">
        <v>271</v>
      </c>
      <c r="M29" s="5">
        <v>951</v>
      </c>
      <c r="N29" s="5">
        <v>35</v>
      </c>
      <c r="O29" s="5">
        <v>21736</v>
      </c>
      <c r="P29" s="5">
        <v>3.2651344449451698</v>
      </c>
      <c r="Q29" s="5">
        <v>1</v>
      </c>
      <c r="R29" s="5">
        <v>1</v>
      </c>
      <c r="S29" s="5">
        <v>1</v>
      </c>
    </row>
    <row r="30" spans="1:19" x14ac:dyDescent="0.2">
      <c r="A30" s="5" t="s">
        <v>67</v>
      </c>
      <c r="B30" s="5" t="s">
        <v>869</v>
      </c>
      <c r="C30" s="5" t="s">
        <v>870</v>
      </c>
      <c r="D30" s="5" t="str">
        <f t="shared" si="0"/>
        <v>"ubiquitin-like modifier activating enzyme activity",</v>
      </c>
      <c r="E30" s="5" t="s">
        <v>393</v>
      </c>
      <c r="F30" s="5" t="s">
        <v>598</v>
      </c>
      <c r="G30" s="5" t="str">
        <f t="shared" si="1"/>
        <v>"#2c72ae",</v>
      </c>
      <c r="H30" s="5">
        <v>3</v>
      </c>
      <c r="I30" s="5">
        <v>0.27173913043478198</v>
      </c>
      <c r="J30" s="5">
        <v>6.8030132340043903E-2</v>
      </c>
      <c r="K30" s="9">
        <f t="shared" si="2"/>
        <v>1.1672986841989961</v>
      </c>
      <c r="L30" s="5" t="s">
        <v>581</v>
      </c>
      <c r="M30" s="5">
        <v>951</v>
      </c>
      <c r="N30" s="5">
        <v>10</v>
      </c>
      <c r="O30" s="5">
        <v>21736</v>
      </c>
      <c r="P30" s="5">
        <v>6.8567823343848504</v>
      </c>
      <c r="Q30" s="5">
        <v>1</v>
      </c>
      <c r="R30" s="5">
        <v>1</v>
      </c>
      <c r="S30" s="5">
        <v>1</v>
      </c>
    </row>
    <row r="31" spans="1:19" x14ac:dyDescent="0.2">
      <c r="A31" s="5" t="s">
        <v>67</v>
      </c>
      <c r="B31" s="5" t="s">
        <v>691</v>
      </c>
      <c r="C31" s="5" t="s">
        <v>692</v>
      </c>
      <c r="D31" s="5" t="str">
        <f t="shared" si="0"/>
        <v>"helicase activity",</v>
      </c>
      <c r="E31" s="5" t="s">
        <v>393</v>
      </c>
      <c r="F31" s="5" t="s">
        <v>598</v>
      </c>
      <c r="G31" s="5" t="str">
        <f t="shared" si="1"/>
        <v>"#2c72ae",</v>
      </c>
      <c r="H31" s="5">
        <v>11</v>
      </c>
      <c r="I31" s="5">
        <v>0.99637681159420199</v>
      </c>
      <c r="J31" s="5">
        <v>7.2089699503768895E-2</v>
      </c>
      <c r="K31" s="9">
        <f t="shared" si="2"/>
        <v>1.1421267847708887</v>
      </c>
      <c r="L31" s="5" t="s">
        <v>582</v>
      </c>
      <c r="M31" s="5">
        <v>951</v>
      </c>
      <c r="N31" s="5">
        <v>135</v>
      </c>
      <c r="O31" s="5">
        <v>21736</v>
      </c>
      <c r="P31" s="5">
        <v>1.86233594267243</v>
      </c>
      <c r="Q31" s="5">
        <v>1</v>
      </c>
      <c r="R31" s="5">
        <v>1</v>
      </c>
      <c r="S31" s="5">
        <v>1</v>
      </c>
    </row>
    <row r="32" spans="1:19" x14ac:dyDescent="0.2">
      <c r="A32" s="5" t="s">
        <v>67</v>
      </c>
      <c r="B32" s="5" t="s">
        <v>751</v>
      </c>
      <c r="C32" s="5" t="s">
        <v>752</v>
      </c>
      <c r="D32" s="5" t="str">
        <f t="shared" si="0"/>
        <v>"histone binding",</v>
      </c>
      <c r="E32" s="5" t="s">
        <v>393</v>
      </c>
      <c r="F32" s="5" t="s">
        <v>598</v>
      </c>
      <c r="G32" s="5" t="str">
        <f t="shared" si="1"/>
        <v>"#2c72ae",</v>
      </c>
      <c r="H32" s="5">
        <v>10</v>
      </c>
      <c r="I32" s="5">
        <v>0.90579710144927505</v>
      </c>
      <c r="J32" s="5">
        <v>7.3767543966807306E-2</v>
      </c>
      <c r="K32" s="9">
        <f t="shared" si="2"/>
        <v>1.1321346757990323</v>
      </c>
      <c r="L32" s="5" t="s">
        <v>583</v>
      </c>
      <c r="M32" s="5">
        <v>951</v>
      </c>
      <c r="N32" s="5">
        <v>118</v>
      </c>
      <c r="O32" s="5">
        <v>21736</v>
      </c>
      <c r="P32" s="5">
        <v>1.9369441622556001</v>
      </c>
      <c r="Q32" s="5">
        <v>1</v>
      </c>
      <c r="R32" s="5">
        <v>1</v>
      </c>
      <c r="S32" s="5">
        <v>1</v>
      </c>
    </row>
    <row r="33" spans="1:19" x14ac:dyDescent="0.2">
      <c r="A33" s="5" t="s">
        <v>67</v>
      </c>
      <c r="B33" s="5" t="s">
        <v>743</v>
      </c>
      <c r="C33" s="5" t="s">
        <v>744</v>
      </c>
      <c r="D33" s="5" t="str">
        <f t="shared" si="0"/>
        <v>"dioxygenase activity",</v>
      </c>
      <c r="E33" s="5" t="s">
        <v>393</v>
      </c>
      <c r="F33" s="5" t="s">
        <v>598</v>
      </c>
      <c r="G33" s="5" t="str">
        <f t="shared" si="1"/>
        <v>"#2c72ae",</v>
      </c>
      <c r="H33" s="5">
        <v>8</v>
      </c>
      <c r="I33" s="5">
        <v>0.72463768115941996</v>
      </c>
      <c r="J33" s="5">
        <v>7.4407510347976796E-2</v>
      </c>
      <c r="K33" s="9">
        <f t="shared" si="2"/>
        <v>1.1283832265768712</v>
      </c>
      <c r="L33" s="5" t="s">
        <v>584</v>
      </c>
      <c r="M33" s="5">
        <v>951</v>
      </c>
      <c r="N33" s="5">
        <v>84</v>
      </c>
      <c r="O33" s="5">
        <v>21736</v>
      </c>
      <c r="P33" s="5">
        <v>2.1767562966301099</v>
      </c>
      <c r="Q33" s="5">
        <v>1</v>
      </c>
      <c r="R33" s="5">
        <v>1</v>
      </c>
      <c r="S33" s="5">
        <v>1</v>
      </c>
    </row>
    <row r="34" spans="1:19" x14ac:dyDescent="0.2">
      <c r="A34" s="5" t="s">
        <v>67</v>
      </c>
      <c r="B34" s="5" t="s">
        <v>683</v>
      </c>
      <c r="C34" s="5" t="s">
        <v>684</v>
      </c>
      <c r="D34" s="5" t="str">
        <f t="shared" si="0"/>
        <v>"cadherin binding",</v>
      </c>
      <c r="E34" s="5" t="s">
        <v>393</v>
      </c>
      <c r="F34" s="5" t="s">
        <v>598</v>
      </c>
      <c r="G34" s="5" t="str">
        <f t="shared" si="1"/>
        <v>"#2c72ae",</v>
      </c>
      <c r="H34" s="5">
        <v>9</v>
      </c>
      <c r="I34" s="5">
        <v>0.81521739130434701</v>
      </c>
      <c r="J34" s="5">
        <v>8.1632103865086597E-2</v>
      </c>
      <c r="K34" s="9">
        <f t="shared" si="2"/>
        <v>1.0881390104928188</v>
      </c>
      <c r="L34" s="5" t="s">
        <v>585</v>
      </c>
      <c r="M34" s="5">
        <v>951</v>
      </c>
      <c r="N34" s="5">
        <v>103</v>
      </c>
      <c r="O34" s="5">
        <v>21736</v>
      </c>
      <c r="P34" s="5">
        <v>1.9971210682674301</v>
      </c>
      <c r="Q34" s="5">
        <v>1</v>
      </c>
      <c r="R34" s="5">
        <v>1</v>
      </c>
      <c r="S34" s="5">
        <v>1</v>
      </c>
    </row>
    <row r="35" spans="1:19" x14ac:dyDescent="0.2">
      <c r="A35" s="5" t="s">
        <v>67</v>
      </c>
      <c r="B35" s="5" t="s">
        <v>871</v>
      </c>
      <c r="C35" s="5" t="s">
        <v>872</v>
      </c>
      <c r="D35" s="5" t="str">
        <f t="shared" si="0"/>
        <v>"diacylglycerol-dependent serine/threonine kinase activity",</v>
      </c>
      <c r="E35" s="5" t="s">
        <v>393</v>
      </c>
      <c r="F35" s="5" t="s">
        <v>598</v>
      </c>
      <c r="G35" s="5" t="str">
        <f t="shared" si="1"/>
        <v>"#2c72ae",</v>
      </c>
      <c r="H35" s="5">
        <v>4</v>
      </c>
      <c r="I35" s="5">
        <v>0.36231884057970998</v>
      </c>
      <c r="J35" s="5">
        <v>8.5241575371407294E-2</v>
      </c>
      <c r="K35" s="9">
        <f t="shared" si="2"/>
        <v>1.0693485325760093</v>
      </c>
      <c r="L35" s="5" t="s">
        <v>586</v>
      </c>
      <c r="M35" s="5">
        <v>951</v>
      </c>
      <c r="N35" s="5">
        <v>24</v>
      </c>
      <c r="O35" s="5">
        <v>21736</v>
      </c>
      <c r="P35" s="5">
        <v>3.8093235191026902</v>
      </c>
      <c r="Q35" s="5">
        <v>1</v>
      </c>
      <c r="R35" s="5">
        <v>1</v>
      </c>
      <c r="S35" s="5">
        <v>1</v>
      </c>
    </row>
    <row r="36" spans="1:19" x14ac:dyDescent="0.2">
      <c r="A36" s="5" t="s">
        <v>67</v>
      </c>
      <c r="B36" s="5" t="s">
        <v>873</v>
      </c>
      <c r="C36" s="5" t="s">
        <v>874</v>
      </c>
      <c r="D36" s="5" t="str">
        <f t="shared" si="0"/>
        <v>"myosin phosphatase regulator activity",</v>
      </c>
      <c r="E36" s="5" t="s">
        <v>393</v>
      </c>
      <c r="F36" s="5" t="s">
        <v>598</v>
      </c>
      <c r="G36" s="5" t="str">
        <f t="shared" si="1"/>
        <v>"#2c72ae",</v>
      </c>
      <c r="H36" s="5">
        <v>2</v>
      </c>
      <c r="I36" s="5">
        <v>0.18115942028985499</v>
      </c>
      <c r="J36" s="5">
        <v>8.5504270283418907E-2</v>
      </c>
      <c r="K36" s="9">
        <f t="shared" si="2"/>
        <v>1.068012195047106</v>
      </c>
      <c r="L36" s="5" t="s">
        <v>587</v>
      </c>
      <c r="M36" s="5">
        <v>951</v>
      </c>
      <c r="N36" s="5">
        <v>2</v>
      </c>
      <c r="O36" s="5">
        <v>21736</v>
      </c>
      <c r="P36" s="5">
        <v>22.855941114616101</v>
      </c>
      <c r="Q36" s="5">
        <v>1</v>
      </c>
      <c r="R36" s="5">
        <v>1</v>
      </c>
      <c r="S36" s="5">
        <v>1</v>
      </c>
    </row>
    <row r="37" spans="1:19" x14ac:dyDescent="0.2">
      <c r="A37" s="5" t="s">
        <v>67</v>
      </c>
      <c r="B37" s="5" t="s">
        <v>875</v>
      </c>
      <c r="C37" s="5" t="s">
        <v>876</v>
      </c>
      <c r="D37" s="5" t="str">
        <f t="shared" si="0"/>
        <v>"methylthiotransferase activity",</v>
      </c>
      <c r="E37" s="5" t="s">
        <v>393</v>
      </c>
      <c r="F37" s="5" t="s">
        <v>598</v>
      </c>
      <c r="G37" s="5" t="str">
        <f t="shared" si="1"/>
        <v>"#2c72ae",</v>
      </c>
      <c r="H37" s="5">
        <v>2</v>
      </c>
      <c r="I37" s="5">
        <v>0.18115942028985499</v>
      </c>
      <c r="J37" s="5">
        <v>8.5504270283418907E-2</v>
      </c>
      <c r="K37" s="9">
        <f t="shared" si="2"/>
        <v>1.068012195047106</v>
      </c>
      <c r="L37" s="5" t="s">
        <v>588</v>
      </c>
      <c r="M37" s="5">
        <v>951</v>
      </c>
      <c r="N37" s="5">
        <v>2</v>
      </c>
      <c r="O37" s="5">
        <v>21736</v>
      </c>
      <c r="P37" s="5">
        <v>22.855941114616101</v>
      </c>
      <c r="Q37" s="5">
        <v>1</v>
      </c>
      <c r="R37" s="5">
        <v>1</v>
      </c>
      <c r="S37" s="5">
        <v>1</v>
      </c>
    </row>
    <row r="38" spans="1:19" x14ac:dyDescent="0.2">
      <c r="A38" s="5" t="s">
        <v>67</v>
      </c>
      <c r="B38" s="5" t="s">
        <v>877</v>
      </c>
      <c r="C38" s="5" t="s">
        <v>878</v>
      </c>
      <c r="D38" s="5" t="str">
        <f t="shared" si="0"/>
        <v>"arachidonate 15-lipoxygenase activity",</v>
      </c>
      <c r="E38" s="5" t="s">
        <v>393</v>
      </c>
      <c r="F38" s="5" t="s">
        <v>598</v>
      </c>
      <c r="G38" s="5" t="str">
        <f t="shared" si="1"/>
        <v>"#2c72ae",</v>
      </c>
      <c r="H38" s="5">
        <v>2</v>
      </c>
      <c r="I38" s="5">
        <v>0.18115942028985499</v>
      </c>
      <c r="J38" s="5">
        <v>8.5504270283418907E-2</v>
      </c>
      <c r="K38" s="9">
        <f t="shared" si="2"/>
        <v>1.068012195047106</v>
      </c>
      <c r="L38" s="5" t="s">
        <v>589</v>
      </c>
      <c r="M38" s="5">
        <v>951</v>
      </c>
      <c r="N38" s="5">
        <v>2</v>
      </c>
      <c r="O38" s="5">
        <v>21736</v>
      </c>
      <c r="P38" s="5">
        <v>22.855941114616101</v>
      </c>
      <c r="Q38" s="5">
        <v>1</v>
      </c>
      <c r="R38" s="5">
        <v>1</v>
      </c>
      <c r="S38" s="5">
        <v>1</v>
      </c>
    </row>
    <row r="39" spans="1:19" x14ac:dyDescent="0.2">
      <c r="A39" s="5" t="s">
        <v>67</v>
      </c>
      <c r="B39" s="5" t="s">
        <v>757</v>
      </c>
      <c r="C39" s="5" t="s">
        <v>758</v>
      </c>
      <c r="D39" s="5" t="str">
        <f t="shared" si="0"/>
        <v>"3'-5' RNA helicase activity",</v>
      </c>
      <c r="E39" s="5" t="s">
        <v>393</v>
      </c>
      <c r="F39" s="5" t="s">
        <v>598</v>
      </c>
      <c r="G39" s="5" t="str">
        <f t="shared" si="1"/>
        <v>"#2c72ae",</v>
      </c>
      <c r="H39" s="5">
        <v>2</v>
      </c>
      <c r="I39" s="5">
        <v>0.18115942028985499</v>
      </c>
      <c r="J39" s="5">
        <v>8.5504270283418907E-2</v>
      </c>
      <c r="K39" s="9">
        <f t="shared" si="2"/>
        <v>1.068012195047106</v>
      </c>
      <c r="L39" s="5" t="s">
        <v>286</v>
      </c>
      <c r="M39" s="5">
        <v>951</v>
      </c>
      <c r="N39" s="5">
        <v>2</v>
      </c>
      <c r="O39" s="5">
        <v>21736</v>
      </c>
      <c r="P39" s="5">
        <v>22.855941114616101</v>
      </c>
      <c r="Q39" s="5">
        <v>1</v>
      </c>
      <c r="R39" s="5">
        <v>1</v>
      </c>
      <c r="S39" s="5">
        <v>1</v>
      </c>
    </row>
    <row r="40" spans="1:19" x14ac:dyDescent="0.2">
      <c r="A40" s="5" t="s">
        <v>67</v>
      </c>
      <c r="B40" s="5" t="s">
        <v>879</v>
      </c>
      <c r="C40" s="5" t="s">
        <v>880</v>
      </c>
      <c r="D40" s="5" t="str">
        <f t="shared" si="0"/>
        <v>"phosphoprotein phosphatase activity",</v>
      </c>
      <c r="E40" s="5" t="s">
        <v>393</v>
      </c>
      <c r="F40" s="5" t="s">
        <v>598</v>
      </c>
      <c r="G40" s="5" t="str">
        <f t="shared" si="1"/>
        <v>"#2c72ae",</v>
      </c>
      <c r="H40" s="5">
        <v>11</v>
      </c>
      <c r="I40" s="5">
        <v>0.99637681159420199</v>
      </c>
      <c r="J40" s="5">
        <v>9.0158350464649595E-2</v>
      </c>
      <c r="K40" s="9">
        <f t="shared" si="2"/>
        <v>1.0449940427322895</v>
      </c>
      <c r="L40" s="5" t="s">
        <v>590</v>
      </c>
      <c r="M40" s="5">
        <v>951</v>
      </c>
      <c r="N40" s="5">
        <v>141</v>
      </c>
      <c r="O40" s="5">
        <v>21736</v>
      </c>
      <c r="P40" s="5">
        <v>1.78308760468636</v>
      </c>
      <c r="Q40" s="5">
        <v>1</v>
      </c>
      <c r="R40" s="5">
        <v>1</v>
      </c>
      <c r="S40" s="5">
        <v>1</v>
      </c>
    </row>
    <row r="41" spans="1:19" x14ac:dyDescent="0.2">
      <c r="A41" s="5" t="s">
        <v>67</v>
      </c>
      <c r="B41" s="5" t="s">
        <v>881</v>
      </c>
      <c r="C41" s="5" t="s">
        <v>882</v>
      </c>
      <c r="D41" s="5" t="str">
        <f t="shared" si="0"/>
        <v>"hydrolase activity, hydrolyzing O-glycosyl compounds",</v>
      </c>
      <c r="E41" s="5" t="s">
        <v>393</v>
      </c>
      <c r="F41" s="5" t="s">
        <v>598</v>
      </c>
      <c r="G41" s="5" t="str">
        <f t="shared" si="1"/>
        <v>"#2c72ae",</v>
      </c>
      <c r="H41" s="5">
        <v>6</v>
      </c>
      <c r="I41" s="5">
        <v>0.54347826086956497</v>
      </c>
      <c r="J41" s="5">
        <v>9.1568597837293805E-2</v>
      </c>
      <c r="K41" s="9">
        <f t="shared" si="2"/>
        <v>1.0382534359845437</v>
      </c>
      <c r="L41" s="5" t="s">
        <v>591</v>
      </c>
      <c r="M41" s="5">
        <v>951</v>
      </c>
      <c r="N41" s="5">
        <v>55</v>
      </c>
      <c r="O41" s="5">
        <v>21736</v>
      </c>
      <c r="P41" s="5">
        <v>2.49337539432176</v>
      </c>
      <c r="Q41" s="5">
        <v>1</v>
      </c>
      <c r="R41" s="5">
        <v>1</v>
      </c>
      <c r="S41" s="5">
        <v>1</v>
      </c>
    </row>
    <row r="42" spans="1:19" x14ac:dyDescent="0.2">
      <c r="A42" s="5" t="s">
        <v>67</v>
      </c>
      <c r="B42" s="5" t="s">
        <v>883</v>
      </c>
      <c r="C42" s="5" t="s">
        <v>884</v>
      </c>
      <c r="D42" s="5" t="str">
        <f t="shared" si="0"/>
        <v>"cation binding",</v>
      </c>
      <c r="E42" s="5" t="s">
        <v>393</v>
      </c>
      <c r="F42" s="5" t="s">
        <v>598</v>
      </c>
      <c r="G42" s="5" t="str">
        <f t="shared" si="1"/>
        <v>"#2c72ae",</v>
      </c>
      <c r="H42" s="5">
        <v>4</v>
      </c>
      <c r="I42" s="5">
        <v>0.36231884057970998</v>
      </c>
      <c r="J42" s="5">
        <v>9.3858359232628599E-2</v>
      </c>
      <c r="K42" s="9">
        <f t="shared" si="2"/>
        <v>1.0275270420950118</v>
      </c>
      <c r="L42" s="5" t="s">
        <v>592</v>
      </c>
      <c r="M42" s="5">
        <v>951</v>
      </c>
      <c r="N42" s="5">
        <v>25</v>
      </c>
      <c r="O42" s="5">
        <v>21736</v>
      </c>
      <c r="P42" s="5">
        <v>3.6569505783385901</v>
      </c>
      <c r="Q42" s="5">
        <v>1</v>
      </c>
      <c r="R42" s="5">
        <v>1</v>
      </c>
      <c r="S42" s="5">
        <v>1</v>
      </c>
    </row>
    <row r="43" spans="1:19" x14ac:dyDescent="0.2">
      <c r="A43" s="5" t="s">
        <v>67</v>
      </c>
      <c r="B43" s="5" t="s">
        <v>885</v>
      </c>
      <c r="C43" s="5" t="s">
        <v>886</v>
      </c>
      <c r="D43" s="5" t="str">
        <f t="shared" si="0"/>
        <v>"translation repressor activity",</v>
      </c>
      <c r="E43" s="5" t="s">
        <v>393</v>
      </c>
      <c r="F43" s="5" t="s">
        <v>598</v>
      </c>
      <c r="G43" s="5" t="str">
        <f t="shared" si="1"/>
        <v>"#2c72ae",</v>
      </c>
      <c r="H43" s="5">
        <v>3</v>
      </c>
      <c r="I43" s="5">
        <v>0.27173913043478198</v>
      </c>
      <c r="J43" s="5">
        <v>9.4240700136901806E-2</v>
      </c>
      <c r="K43" s="9">
        <f t="shared" si="2"/>
        <v>1.025761496066486</v>
      </c>
      <c r="L43" s="5" t="s">
        <v>593</v>
      </c>
      <c r="M43" s="5">
        <v>951</v>
      </c>
      <c r="N43" s="5">
        <v>12</v>
      </c>
      <c r="O43" s="5">
        <v>21736</v>
      </c>
      <c r="P43" s="5">
        <v>5.7139852786540404</v>
      </c>
      <c r="Q43" s="5">
        <v>1</v>
      </c>
      <c r="R43" s="5">
        <v>1</v>
      </c>
      <c r="S43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B14C-9279-9941-942E-D806892FB2FA}">
  <dimension ref="A1:S51"/>
  <sheetViews>
    <sheetView topLeftCell="C1" workbookViewId="0">
      <selection activeCell="K1" sqref="K1:K2"/>
    </sheetView>
  </sheetViews>
  <sheetFormatPr baseColWidth="10" defaultRowHeight="16" x14ac:dyDescent="0.2"/>
  <cols>
    <col min="1" max="1" width="18.83203125" bestFit="1" customWidth="1"/>
    <col min="2" max="2" width="11.33203125" bestFit="1" customWidth="1"/>
    <col min="3" max="3" width="66.5" bestFit="1" customWidth="1"/>
    <col min="4" max="4" width="68.83203125" bestFit="1" customWidth="1"/>
    <col min="5" max="5" width="15.8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15</v>
      </c>
      <c r="B2" s="2" t="s">
        <v>419</v>
      </c>
      <c r="C2" s="2" t="s">
        <v>420</v>
      </c>
      <c r="D2" s="2" t="str">
        <f>CHAR(34)&amp;C2&amp;CHAR(34)&amp;","</f>
        <v>"monoatomic ion transmembrane transport",</v>
      </c>
      <c r="E2" s="2" t="s">
        <v>350</v>
      </c>
      <c r="F2" s="2" t="s">
        <v>596</v>
      </c>
      <c r="G2" s="2" t="str">
        <f>CHAR(34)&amp;F2&amp;CHAR(34)&amp;","</f>
        <v>"#7f6333",</v>
      </c>
      <c r="H2" s="2">
        <v>23</v>
      </c>
      <c r="I2" s="2">
        <v>3.25318246110325</v>
      </c>
      <c r="J2" s="2">
        <v>1.0675026228341099E-3</v>
      </c>
      <c r="K2" s="7">
        <f>-(LOG(J2))</f>
        <v>2.9716310492481548</v>
      </c>
      <c r="L2" s="2" t="s">
        <v>200</v>
      </c>
      <c r="M2" s="2">
        <v>630</v>
      </c>
      <c r="N2" s="2">
        <v>369</v>
      </c>
      <c r="O2" s="2">
        <v>21944</v>
      </c>
      <c r="P2" s="2">
        <v>2.1710844410031398</v>
      </c>
      <c r="Q2" s="2">
        <v>0.72390982221993505</v>
      </c>
      <c r="R2" s="2">
        <v>0.68940965650359498</v>
      </c>
      <c r="S2" s="2">
        <v>0.68940965650359498</v>
      </c>
    </row>
    <row r="3" spans="1:19" x14ac:dyDescent="0.2">
      <c r="A3" s="2" t="s">
        <v>15</v>
      </c>
      <c r="B3" s="2" t="s">
        <v>405</v>
      </c>
      <c r="C3" s="2" t="s">
        <v>406</v>
      </c>
      <c r="D3" s="2" t="str">
        <f t="shared" ref="D3:D51" si="0">CHAR(34)&amp;C3&amp;CHAR(34)&amp;","</f>
        <v>"animal organ development",</v>
      </c>
      <c r="E3" s="2" t="s">
        <v>350</v>
      </c>
      <c r="F3" s="2" t="s">
        <v>596</v>
      </c>
      <c r="G3" s="2" t="str">
        <f t="shared" ref="G3:G51" si="1">CHAR(34)&amp;F3&amp;CHAR(34)&amp;","</f>
        <v>"#7f6333",</v>
      </c>
      <c r="H3" s="2">
        <v>14</v>
      </c>
      <c r="I3" s="2">
        <v>1.98019801980198</v>
      </c>
      <c r="J3" s="2">
        <v>1.1442483925370799E-3</v>
      </c>
      <c r="K3" s="7">
        <f t="shared" ref="K3:K51" si="2">-(LOG(J3))</f>
        <v>2.9414796890057677</v>
      </c>
      <c r="L3" s="2" t="s">
        <v>201</v>
      </c>
      <c r="M3" s="2">
        <v>630</v>
      </c>
      <c r="N3" s="2">
        <v>168</v>
      </c>
      <c r="O3" s="2">
        <v>21944</v>
      </c>
      <c r="P3" s="2">
        <v>2.9026455026455</v>
      </c>
      <c r="Q3" s="2">
        <v>0.748323002904005</v>
      </c>
      <c r="R3" s="2">
        <v>0.68940965650359498</v>
      </c>
      <c r="S3" s="2">
        <v>0.68940965650359498</v>
      </c>
    </row>
    <row r="4" spans="1:19" x14ac:dyDescent="0.2">
      <c r="A4" s="2" t="s">
        <v>15</v>
      </c>
      <c r="B4" s="2" t="s">
        <v>431</v>
      </c>
      <c r="C4" s="2" t="s">
        <v>432</v>
      </c>
      <c r="D4" s="2" t="str">
        <f t="shared" si="0"/>
        <v>"calcium ion transport",</v>
      </c>
      <c r="E4" s="2" t="s">
        <v>350</v>
      </c>
      <c r="F4" s="2" t="s">
        <v>596</v>
      </c>
      <c r="G4" s="2" t="str">
        <f t="shared" si="1"/>
        <v>"#7f6333",</v>
      </c>
      <c r="H4" s="2">
        <v>10</v>
      </c>
      <c r="I4" s="2">
        <v>1.41442715700141</v>
      </c>
      <c r="J4" s="2">
        <v>2.47878921096727E-3</v>
      </c>
      <c r="K4" s="7">
        <f t="shared" si="2"/>
        <v>2.6057604028029693</v>
      </c>
      <c r="L4" s="2" t="s">
        <v>202</v>
      </c>
      <c r="M4" s="2">
        <v>630</v>
      </c>
      <c r="N4" s="2">
        <v>101</v>
      </c>
      <c r="O4" s="2">
        <v>21944</v>
      </c>
      <c r="P4" s="2">
        <v>3.4486877259154398</v>
      </c>
      <c r="Q4" s="2">
        <v>0.94974519560799298</v>
      </c>
      <c r="R4" s="2">
        <v>0.99564699973852</v>
      </c>
      <c r="S4" s="2">
        <v>0.99564699973852</v>
      </c>
    </row>
    <row r="5" spans="1:19" x14ac:dyDescent="0.2">
      <c r="A5" s="2" t="s">
        <v>15</v>
      </c>
      <c r="B5" s="2" t="s">
        <v>411</v>
      </c>
      <c r="C5" s="2" t="s">
        <v>412</v>
      </c>
      <c r="D5" s="2" t="str">
        <f t="shared" si="0"/>
        <v>"cell adhesion",</v>
      </c>
      <c r="E5" s="2" t="s">
        <v>350</v>
      </c>
      <c r="F5" s="2" t="s">
        <v>596</v>
      </c>
      <c r="G5" s="2" t="str">
        <f t="shared" si="1"/>
        <v>"#7f6333",</v>
      </c>
      <c r="H5" s="2">
        <v>25</v>
      </c>
      <c r="I5" s="2">
        <v>3.5360678925035298</v>
      </c>
      <c r="J5" s="2">
        <v>3.7805651272962999E-3</v>
      </c>
      <c r="K5" s="7">
        <f t="shared" si="2"/>
        <v>2.4224432760036199</v>
      </c>
      <c r="L5" s="2" t="s">
        <v>203</v>
      </c>
      <c r="M5" s="2">
        <v>630</v>
      </c>
      <c r="N5" s="2">
        <v>460</v>
      </c>
      <c r="O5" s="2">
        <v>21944</v>
      </c>
      <c r="P5" s="2">
        <v>1.89302967563837</v>
      </c>
      <c r="Q5" s="2">
        <v>0.98958193623705104</v>
      </c>
      <c r="R5" s="2">
        <v>1</v>
      </c>
      <c r="S5" s="2">
        <v>1</v>
      </c>
    </row>
    <row r="6" spans="1:19" x14ac:dyDescent="0.2">
      <c r="A6" s="2" t="s">
        <v>15</v>
      </c>
      <c r="B6" s="2" t="s">
        <v>445</v>
      </c>
      <c r="C6" s="2" t="s">
        <v>446</v>
      </c>
      <c r="D6" s="2" t="str">
        <f t="shared" si="0"/>
        <v>"calcium ion transmembrane transport",</v>
      </c>
      <c r="E6" s="2" t="s">
        <v>350</v>
      </c>
      <c r="F6" s="2" t="s">
        <v>596</v>
      </c>
      <c r="G6" s="2" t="str">
        <f t="shared" si="1"/>
        <v>"#7f6333",</v>
      </c>
      <c r="H6" s="2">
        <v>10</v>
      </c>
      <c r="I6" s="2">
        <v>1.41442715700141</v>
      </c>
      <c r="J6" s="2">
        <v>4.3985635106419804E-3</v>
      </c>
      <c r="K6" s="7">
        <f t="shared" si="2"/>
        <v>2.356689132891284</v>
      </c>
      <c r="L6" s="2" t="s">
        <v>204</v>
      </c>
      <c r="M6" s="2">
        <v>630</v>
      </c>
      <c r="N6" s="2">
        <v>110</v>
      </c>
      <c r="O6" s="2">
        <v>21944</v>
      </c>
      <c r="P6" s="2">
        <v>3.1665223665223601</v>
      </c>
      <c r="Q6" s="2">
        <v>0.99506775051761898</v>
      </c>
      <c r="R6" s="2">
        <v>1</v>
      </c>
      <c r="S6" s="2">
        <v>1</v>
      </c>
    </row>
    <row r="7" spans="1:19" x14ac:dyDescent="0.2">
      <c r="A7" s="2" t="s">
        <v>15</v>
      </c>
      <c r="B7" s="2" t="s">
        <v>397</v>
      </c>
      <c r="C7" s="2" t="s">
        <v>398</v>
      </c>
      <c r="D7" s="2" t="str">
        <f t="shared" si="0"/>
        <v>"glial cell development",</v>
      </c>
      <c r="E7" s="2" t="s">
        <v>350</v>
      </c>
      <c r="F7" s="2" t="s">
        <v>596</v>
      </c>
      <c r="G7" s="2" t="str">
        <f t="shared" si="1"/>
        <v>"#7f6333",</v>
      </c>
      <c r="H7" s="2">
        <v>6</v>
      </c>
      <c r="I7" s="2">
        <v>0.84865629420084798</v>
      </c>
      <c r="J7" s="2">
        <v>7.4593198090191597E-3</v>
      </c>
      <c r="K7" s="7">
        <f t="shared" si="2"/>
        <v>2.1273007726154862</v>
      </c>
      <c r="L7" s="2" t="s">
        <v>17</v>
      </c>
      <c r="M7" s="2">
        <v>630</v>
      </c>
      <c r="N7" s="2">
        <v>43</v>
      </c>
      <c r="O7" s="2">
        <v>21944</v>
      </c>
      <c r="P7" s="2">
        <v>4.8602436323366502</v>
      </c>
      <c r="Q7" s="2">
        <v>0.99987929632629502</v>
      </c>
      <c r="R7" s="2">
        <v>1</v>
      </c>
      <c r="S7" s="2">
        <v>1</v>
      </c>
    </row>
    <row r="8" spans="1:19" x14ac:dyDescent="0.2">
      <c r="A8" s="2" t="s">
        <v>15</v>
      </c>
      <c r="B8" s="2" t="s">
        <v>399</v>
      </c>
      <c r="C8" s="2" t="s">
        <v>400</v>
      </c>
      <c r="D8" s="2" t="str">
        <f t="shared" si="0"/>
        <v>"retina development in camera-type eye",</v>
      </c>
      <c r="E8" s="2" t="s">
        <v>350</v>
      </c>
      <c r="F8" s="2" t="s">
        <v>596</v>
      </c>
      <c r="G8" s="2" t="str">
        <f t="shared" si="1"/>
        <v>"#7f6333",</v>
      </c>
      <c r="H8" s="2">
        <v>11</v>
      </c>
      <c r="I8" s="2">
        <v>1.5558698727015501</v>
      </c>
      <c r="J8" s="2">
        <v>7.8915804293536902E-3</v>
      </c>
      <c r="K8" s="7">
        <f t="shared" si="2"/>
        <v>2.1028360128851702</v>
      </c>
      <c r="L8" s="2" t="s">
        <v>205</v>
      </c>
      <c r="M8" s="2">
        <v>630</v>
      </c>
      <c r="N8" s="2">
        <v>142</v>
      </c>
      <c r="O8" s="2">
        <v>21944</v>
      </c>
      <c r="P8" s="2">
        <v>2.6982338475296199</v>
      </c>
      <c r="Q8" s="2">
        <v>0.99992859016232805</v>
      </c>
      <c r="R8" s="2">
        <v>1</v>
      </c>
      <c r="S8" s="2">
        <v>1</v>
      </c>
    </row>
    <row r="9" spans="1:19" x14ac:dyDescent="0.2">
      <c r="A9" s="2" t="s">
        <v>15</v>
      </c>
      <c r="B9" s="2" t="s">
        <v>633</v>
      </c>
      <c r="C9" s="2" t="s">
        <v>634</v>
      </c>
      <c r="D9" s="2" t="str">
        <f t="shared" si="0"/>
        <v>"cell-cell junction assembly",</v>
      </c>
      <c r="E9" s="2" t="s">
        <v>350</v>
      </c>
      <c r="F9" s="2" t="s">
        <v>596</v>
      </c>
      <c r="G9" s="2" t="str">
        <f t="shared" si="1"/>
        <v>"#7f6333",</v>
      </c>
      <c r="H9" s="2">
        <v>7</v>
      </c>
      <c r="I9" s="2">
        <v>0.99009900990098998</v>
      </c>
      <c r="J9" s="2">
        <v>7.9117055162187498E-3</v>
      </c>
      <c r="K9" s="7">
        <f t="shared" si="2"/>
        <v>2.1017298861051823</v>
      </c>
      <c r="L9" s="2" t="s">
        <v>206</v>
      </c>
      <c r="M9" s="2">
        <v>630</v>
      </c>
      <c r="N9" s="2">
        <v>61</v>
      </c>
      <c r="O9" s="2">
        <v>21944</v>
      </c>
      <c r="P9" s="2">
        <v>3.9970856102003598</v>
      </c>
      <c r="Q9" s="2">
        <v>0.99993031453454895</v>
      </c>
      <c r="R9" s="2">
        <v>1</v>
      </c>
      <c r="S9" s="2">
        <v>1</v>
      </c>
    </row>
    <row r="10" spans="1:19" x14ac:dyDescent="0.2">
      <c r="A10" s="2" t="s">
        <v>15</v>
      </c>
      <c r="B10" s="2" t="s">
        <v>669</v>
      </c>
      <c r="C10" s="2" t="s">
        <v>670</v>
      </c>
      <c r="D10" s="2" t="str">
        <f t="shared" si="0"/>
        <v>"vasculature development",</v>
      </c>
      <c r="E10" s="2" t="s">
        <v>350</v>
      </c>
      <c r="F10" s="2" t="s">
        <v>596</v>
      </c>
      <c r="G10" s="2" t="str">
        <f t="shared" si="1"/>
        <v>"#7f6333",</v>
      </c>
      <c r="H10" s="2">
        <v>8</v>
      </c>
      <c r="I10" s="2">
        <v>1.13154172560113</v>
      </c>
      <c r="J10" s="2">
        <v>9.7555125283376003E-3</v>
      </c>
      <c r="K10" s="7">
        <f t="shared" si="2"/>
        <v>2.0107499090084029</v>
      </c>
      <c r="L10" s="2" t="s">
        <v>207</v>
      </c>
      <c r="M10" s="2">
        <v>630</v>
      </c>
      <c r="N10" s="2">
        <v>83</v>
      </c>
      <c r="O10" s="2">
        <v>21944</v>
      </c>
      <c r="P10" s="2">
        <v>3.35727672595142</v>
      </c>
      <c r="Q10" s="2">
        <v>0.99999259317145395</v>
      </c>
      <c r="R10" s="2">
        <v>1</v>
      </c>
      <c r="S10" s="2">
        <v>1</v>
      </c>
    </row>
    <row r="11" spans="1:19" x14ac:dyDescent="0.2">
      <c r="A11" t="s">
        <v>15</v>
      </c>
      <c r="B11" t="s">
        <v>697</v>
      </c>
      <c r="C11" t="s">
        <v>698</v>
      </c>
      <c r="D11" t="str">
        <f t="shared" si="0"/>
        <v>"cranial skeletal system development",</v>
      </c>
      <c r="E11" t="s">
        <v>350</v>
      </c>
      <c r="F11" t="s">
        <v>596</v>
      </c>
      <c r="G11" t="str">
        <f t="shared" si="1"/>
        <v>"#7f6333",</v>
      </c>
      <c r="H11">
        <v>8</v>
      </c>
      <c r="I11">
        <v>1.13154172560113</v>
      </c>
      <c r="J11">
        <v>1.10481021797508E-2</v>
      </c>
      <c r="K11" s="8">
        <f t="shared" si="2"/>
        <v>1.9567123177841748</v>
      </c>
      <c r="L11" t="s">
        <v>208</v>
      </c>
      <c r="M11">
        <v>630</v>
      </c>
      <c r="N11">
        <v>85</v>
      </c>
      <c r="O11">
        <v>21944</v>
      </c>
      <c r="P11">
        <v>3.2782819794584501</v>
      </c>
      <c r="Q11">
        <v>0.99999846510841095</v>
      </c>
      <c r="R11">
        <v>1</v>
      </c>
      <c r="S11">
        <v>1</v>
      </c>
    </row>
    <row r="12" spans="1:19" x14ac:dyDescent="0.2">
      <c r="A12" t="s">
        <v>15</v>
      </c>
      <c r="B12" t="s">
        <v>439</v>
      </c>
      <c r="C12" t="s">
        <v>440</v>
      </c>
      <c r="D12" t="str">
        <f t="shared" si="0"/>
        <v>"positive regulation of cell population proliferation",</v>
      </c>
      <c r="E12" t="s">
        <v>350</v>
      </c>
      <c r="F12" t="s">
        <v>596</v>
      </c>
      <c r="G12" t="str">
        <f t="shared" si="1"/>
        <v>"#7f6333",</v>
      </c>
      <c r="H12">
        <v>9</v>
      </c>
      <c r="I12">
        <v>1.2729844413012701</v>
      </c>
      <c r="J12">
        <v>1.1891913152593501E-2</v>
      </c>
      <c r="K12" s="8">
        <f t="shared" si="2"/>
        <v>1.9247482711360484</v>
      </c>
      <c r="L12" t="s">
        <v>209</v>
      </c>
      <c r="M12">
        <v>630</v>
      </c>
      <c r="N12">
        <v>107</v>
      </c>
      <c r="O12">
        <v>21944</v>
      </c>
      <c r="P12">
        <v>2.9297730307076</v>
      </c>
      <c r="Q12">
        <v>0.99999945125996204</v>
      </c>
      <c r="R12">
        <v>1</v>
      </c>
      <c r="S12">
        <v>1</v>
      </c>
    </row>
    <row r="13" spans="1:19" x14ac:dyDescent="0.2">
      <c r="A13" t="s">
        <v>15</v>
      </c>
      <c r="B13" t="s">
        <v>401</v>
      </c>
      <c r="C13" t="s">
        <v>402</v>
      </c>
      <c r="D13" t="str">
        <f t="shared" si="0"/>
        <v>"endocytosis",</v>
      </c>
      <c r="E13" t="s">
        <v>350</v>
      </c>
      <c r="F13" t="s">
        <v>596</v>
      </c>
      <c r="G13" t="str">
        <f t="shared" si="1"/>
        <v>"#7f6333",</v>
      </c>
      <c r="H13">
        <v>11</v>
      </c>
      <c r="I13">
        <v>1.5558698727015501</v>
      </c>
      <c r="J13">
        <v>1.34878781460612E-2</v>
      </c>
      <c r="K13" s="8">
        <f t="shared" si="2"/>
        <v>1.8700563662611678</v>
      </c>
      <c r="L13" t="s">
        <v>210</v>
      </c>
      <c r="M13">
        <v>630</v>
      </c>
      <c r="N13">
        <v>154</v>
      </c>
      <c r="O13">
        <v>21944</v>
      </c>
      <c r="P13">
        <v>2.4879818594104299</v>
      </c>
      <c r="Q13">
        <v>0.99999992176098096</v>
      </c>
      <c r="R13">
        <v>1</v>
      </c>
      <c r="S13">
        <v>1</v>
      </c>
    </row>
    <row r="14" spans="1:19" x14ac:dyDescent="0.2">
      <c r="A14" t="s">
        <v>15</v>
      </c>
      <c r="B14" t="s">
        <v>603</v>
      </c>
      <c r="C14" t="s">
        <v>604</v>
      </c>
      <c r="D14" t="str">
        <f t="shared" si="0"/>
        <v>"lipid metabolic process",</v>
      </c>
      <c r="E14" t="s">
        <v>350</v>
      </c>
      <c r="F14" t="s">
        <v>596</v>
      </c>
      <c r="G14" t="str">
        <f t="shared" si="1"/>
        <v>"#7f6333",</v>
      </c>
      <c r="H14">
        <v>23</v>
      </c>
      <c r="I14">
        <v>3.25318246110325</v>
      </c>
      <c r="J14">
        <v>1.41323181335219E-2</v>
      </c>
      <c r="K14" s="8">
        <f t="shared" si="2"/>
        <v>1.8497865946961538</v>
      </c>
      <c r="L14" t="s">
        <v>211</v>
      </c>
      <c r="M14">
        <v>630</v>
      </c>
      <c r="N14">
        <v>461</v>
      </c>
      <c r="O14">
        <v>21944</v>
      </c>
      <c r="P14">
        <v>1.7378094549461101</v>
      </c>
      <c r="Q14">
        <v>0.999999964400063</v>
      </c>
      <c r="R14">
        <v>1</v>
      </c>
      <c r="S14">
        <v>1</v>
      </c>
    </row>
    <row r="15" spans="1:19" x14ac:dyDescent="0.2">
      <c r="A15" t="s">
        <v>15</v>
      </c>
      <c r="B15" t="s">
        <v>455</v>
      </c>
      <c r="C15" t="s">
        <v>456</v>
      </c>
      <c r="D15" t="str">
        <f t="shared" si="0"/>
        <v>"midbrain-hindbrain boundary development",</v>
      </c>
      <c r="E15" t="s">
        <v>350</v>
      </c>
      <c r="F15" t="s">
        <v>596</v>
      </c>
      <c r="G15" t="str">
        <f t="shared" si="1"/>
        <v>"#7f6333",</v>
      </c>
      <c r="H15">
        <v>5</v>
      </c>
      <c r="I15">
        <v>0.70721357850070699</v>
      </c>
      <c r="J15">
        <v>1.7320883971094301E-2</v>
      </c>
      <c r="K15" s="8">
        <f t="shared" si="2"/>
        <v>1.7614299475396891</v>
      </c>
      <c r="L15" t="s">
        <v>212</v>
      </c>
      <c r="M15">
        <v>630</v>
      </c>
      <c r="N15">
        <v>35</v>
      </c>
      <c r="O15">
        <v>21944</v>
      </c>
      <c r="P15">
        <v>4.9759637188208599</v>
      </c>
      <c r="Q15">
        <v>0.99999999928199002</v>
      </c>
      <c r="R15">
        <v>1</v>
      </c>
      <c r="S15">
        <v>1</v>
      </c>
    </row>
    <row r="16" spans="1:19" x14ac:dyDescent="0.2">
      <c r="A16" t="s">
        <v>15</v>
      </c>
      <c r="B16" t="s">
        <v>635</v>
      </c>
      <c r="C16" t="s">
        <v>636</v>
      </c>
      <c r="D16" t="str">
        <f t="shared" si="0"/>
        <v>"axon extension involved in axon guidance",</v>
      </c>
      <c r="E16" t="s">
        <v>350</v>
      </c>
      <c r="F16" t="s">
        <v>596</v>
      </c>
      <c r="G16" t="str">
        <f t="shared" si="1"/>
        <v>"#7f6333",</v>
      </c>
      <c r="H16">
        <v>3</v>
      </c>
      <c r="I16">
        <v>0.42432814710042399</v>
      </c>
      <c r="J16">
        <v>2.0480547803999698E-2</v>
      </c>
      <c r="K16" s="8">
        <f t="shared" si="2"/>
        <v>1.6886584312375899</v>
      </c>
      <c r="L16" t="s">
        <v>131</v>
      </c>
      <c r="M16">
        <v>630</v>
      </c>
      <c r="N16">
        <v>8</v>
      </c>
      <c r="O16">
        <v>21944</v>
      </c>
      <c r="P16">
        <v>13.0619047619047</v>
      </c>
      <c r="Q16">
        <v>0.99999999998518296</v>
      </c>
      <c r="R16">
        <v>1</v>
      </c>
      <c r="S16">
        <v>1</v>
      </c>
    </row>
    <row r="17" spans="1:19" x14ac:dyDescent="0.2">
      <c r="A17" t="s">
        <v>15</v>
      </c>
      <c r="B17" t="s">
        <v>395</v>
      </c>
      <c r="C17" t="s">
        <v>396</v>
      </c>
      <c r="D17" t="str">
        <f t="shared" si="0"/>
        <v>"cell surface receptor protein tyrosine kinase signaling pathway",</v>
      </c>
      <c r="E17" t="s">
        <v>350</v>
      </c>
      <c r="F17" t="s">
        <v>596</v>
      </c>
      <c r="G17" t="str">
        <f t="shared" si="1"/>
        <v>"#7f6333",</v>
      </c>
      <c r="H17">
        <v>9</v>
      </c>
      <c r="I17">
        <v>1.2729844413012701</v>
      </c>
      <c r="J17">
        <v>2.3299432883502402E-2</v>
      </c>
      <c r="K17" s="8">
        <f t="shared" si="2"/>
        <v>1.6326546497277552</v>
      </c>
      <c r="L17" t="s">
        <v>16</v>
      </c>
      <c r="M17">
        <v>630</v>
      </c>
      <c r="N17">
        <v>121</v>
      </c>
      <c r="O17">
        <v>21944</v>
      </c>
      <c r="P17">
        <v>2.5907910271546601</v>
      </c>
      <c r="Q17">
        <v>0.99999999999954003</v>
      </c>
      <c r="R17">
        <v>1</v>
      </c>
      <c r="S17">
        <v>1</v>
      </c>
    </row>
    <row r="18" spans="1:19" x14ac:dyDescent="0.2">
      <c r="A18" t="s">
        <v>15</v>
      </c>
      <c r="B18" t="s">
        <v>643</v>
      </c>
      <c r="C18" t="s">
        <v>644</v>
      </c>
      <c r="D18" t="str">
        <f t="shared" si="0"/>
        <v>"monoatomic ion transport",</v>
      </c>
      <c r="E18" t="s">
        <v>350</v>
      </c>
      <c r="F18" t="s">
        <v>596</v>
      </c>
      <c r="G18" t="str">
        <f t="shared" si="1"/>
        <v>"#7f6333",</v>
      </c>
      <c r="H18">
        <v>28</v>
      </c>
      <c r="I18">
        <v>3.9603960396039599</v>
      </c>
      <c r="J18">
        <v>2.3518323168977201E-2</v>
      </c>
      <c r="K18" s="8">
        <f t="shared" si="2"/>
        <v>1.6285936462192399</v>
      </c>
      <c r="L18" t="s">
        <v>213</v>
      </c>
      <c r="M18">
        <v>630</v>
      </c>
      <c r="N18">
        <v>625</v>
      </c>
      <c r="O18">
        <v>21944</v>
      </c>
      <c r="P18">
        <v>1.56046222222222</v>
      </c>
      <c r="Q18">
        <v>0.99999999999964895</v>
      </c>
      <c r="R18">
        <v>1</v>
      </c>
      <c r="S18">
        <v>1</v>
      </c>
    </row>
    <row r="19" spans="1:19" x14ac:dyDescent="0.2">
      <c r="A19" t="s">
        <v>15</v>
      </c>
      <c r="B19" t="s">
        <v>645</v>
      </c>
      <c r="C19" t="s">
        <v>646</v>
      </c>
      <c r="D19" t="str">
        <f t="shared" si="0"/>
        <v>"negative chemotaxis",</v>
      </c>
      <c r="E19" t="s">
        <v>350</v>
      </c>
      <c r="F19" t="s">
        <v>596</v>
      </c>
      <c r="G19" t="str">
        <f t="shared" si="1"/>
        <v>"#7f6333",</v>
      </c>
      <c r="H19">
        <v>5</v>
      </c>
      <c r="I19">
        <v>0.70721357850070699</v>
      </c>
      <c r="J19">
        <v>2.7046303834141201E-2</v>
      </c>
      <c r="K19" s="8">
        <f t="shared" si="2"/>
        <v>1.5678920774748684</v>
      </c>
      <c r="L19" t="s">
        <v>214</v>
      </c>
      <c r="M19">
        <v>630</v>
      </c>
      <c r="N19">
        <v>40</v>
      </c>
      <c r="O19">
        <v>21944</v>
      </c>
      <c r="P19">
        <v>4.35396825396825</v>
      </c>
      <c r="Q19">
        <v>0.999999999999995</v>
      </c>
      <c r="R19">
        <v>1</v>
      </c>
      <c r="S19">
        <v>1</v>
      </c>
    </row>
    <row r="20" spans="1:19" x14ac:dyDescent="0.2">
      <c r="A20" t="s">
        <v>15</v>
      </c>
      <c r="B20" t="s">
        <v>607</v>
      </c>
      <c r="C20" t="s">
        <v>608</v>
      </c>
      <c r="D20" t="str">
        <f t="shared" si="0"/>
        <v>"amino acid transmembrane transport",</v>
      </c>
      <c r="E20" t="s">
        <v>350</v>
      </c>
      <c r="F20" t="s">
        <v>596</v>
      </c>
      <c r="G20" t="str">
        <f t="shared" si="1"/>
        <v>"#7f6333",</v>
      </c>
      <c r="H20">
        <v>4</v>
      </c>
      <c r="I20">
        <v>0.56577086280056499</v>
      </c>
      <c r="J20">
        <v>2.71000913069467E-2</v>
      </c>
      <c r="K20" s="8">
        <f t="shared" si="2"/>
        <v>1.5670292458770221</v>
      </c>
      <c r="L20" t="s">
        <v>215</v>
      </c>
      <c r="M20">
        <v>630</v>
      </c>
      <c r="N20">
        <v>23</v>
      </c>
      <c r="O20">
        <v>21944</v>
      </c>
      <c r="P20">
        <v>6.0576949620427802</v>
      </c>
      <c r="Q20">
        <v>0.999999999999995</v>
      </c>
      <c r="R20">
        <v>1</v>
      </c>
      <c r="S20">
        <v>1</v>
      </c>
    </row>
    <row r="21" spans="1:19" x14ac:dyDescent="0.2">
      <c r="A21" t="s">
        <v>15</v>
      </c>
      <c r="B21" t="s">
        <v>641</v>
      </c>
      <c r="C21" t="s">
        <v>642</v>
      </c>
      <c r="D21" t="str">
        <f t="shared" si="0"/>
        <v>"cilium assembly",</v>
      </c>
      <c r="E21" t="s">
        <v>350</v>
      </c>
      <c r="F21" t="s">
        <v>596</v>
      </c>
      <c r="G21" t="str">
        <f t="shared" si="1"/>
        <v>"#7f6333",</v>
      </c>
      <c r="H21">
        <v>15</v>
      </c>
      <c r="I21">
        <v>2.1216407355021198</v>
      </c>
      <c r="J21">
        <v>3.2837538856327703E-2</v>
      </c>
      <c r="K21" s="8">
        <f t="shared" si="2"/>
        <v>1.4836294003093</v>
      </c>
      <c r="L21" t="s">
        <v>216</v>
      </c>
      <c r="M21">
        <v>630</v>
      </c>
      <c r="N21">
        <v>281</v>
      </c>
      <c r="O21">
        <v>21944</v>
      </c>
      <c r="P21">
        <v>1.85934587358074</v>
      </c>
      <c r="Q21">
        <v>1</v>
      </c>
      <c r="R21">
        <v>1</v>
      </c>
      <c r="S21">
        <v>1</v>
      </c>
    </row>
    <row r="22" spans="1:19" x14ac:dyDescent="0.2">
      <c r="A22" t="s">
        <v>15</v>
      </c>
      <c r="B22" t="s">
        <v>699</v>
      </c>
      <c r="C22" t="s">
        <v>700</v>
      </c>
      <c r="D22" t="str">
        <f t="shared" si="0"/>
        <v>"protein stabilization",</v>
      </c>
      <c r="E22" t="s">
        <v>350</v>
      </c>
      <c r="F22" t="s">
        <v>596</v>
      </c>
      <c r="G22" t="str">
        <f t="shared" si="1"/>
        <v>"#7f6333",</v>
      </c>
      <c r="H22">
        <v>4</v>
      </c>
      <c r="I22">
        <v>0.56577086280056499</v>
      </c>
      <c r="J22">
        <v>3.7362603902908999E-2</v>
      </c>
      <c r="K22" s="8">
        <f t="shared" si="2"/>
        <v>1.4275628642070011</v>
      </c>
      <c r="L22" t="s">
        <v>217</v>
      </c>
      <c r="M22">
        <v>630</v>
      </c>
      <c r="N22">
        <v>26</v>
      </c>
      <c r="O22">
        <v>21944</v>
      </c>
      <c r="P22">
        <v>5.3587301587301504</v>
      </c>
      <c r="Q22">
        <v>1</v>
      </c>
      <c r="R22">
        <v>1</v>
      </c>
      <c r="S22">
        <v>1</v>
      </c>
    </row>
    <row r="23" spans="1:19" x14ac:dyDescent="0.2">
      <c r="A23" t="s">
        <v>15</v>
      </c>
      <c r="B23" t="s">
        <v>447</v>
      </c>
      <c r="C23" t="s">
        <v>448</v>
      </c>
      <c r="D23" t="str">
        <f t="shared" si="0"/>
        <v>"peptidyl-serine phosphorylation",</v>
      </c>
      <c r="E23" t="s">
        <v>350</v>
      </c>
      <c r="F23" t="s">
        <v>596</v>
      </c>
      <c r="G23" t="str">
        <f t="shared" si="1"/>
        <v>"#7f6333",</v>
      </c>
      <c r="H23">
        <v>8</v>
      </c>
      <c r="I23">
        <v>1.13154172560113</v>
      </c>
      <c r="J23">
        <v>4.0661492318329898E-2</v>
      </c>
      <c r="K23" s="8">
        <f t="shared" si="2"/>
        <v>1.390816686354087</v>
      </c>
      <c r="L23" t="s">
        <v>129</v>
      </c>
      <c r="M23">
        <v>630</v>
      </c>
      <c r="N23">
        <v>111</v>
      </c>
      <c r="O23">
        <v>21944</v>
      </c>
      <c r="P23">
        <v>2.5103961103961101</v>
      </c>
      <c r="Q23">
        <v>1</v>
      </c>
      <c r="R23">
        <v>1</v>
      </c>
      <c r="S23">
        <v>1</v>
      </c>
    </row>
    <row r="24" spans="1:19" x14ac:dyDescent="0.2">
      <c r="A24" t="s">
        <v>15</v>
      </c>
      <c r="B24" t="s">
        <v>409</v>
      </c>
      <c r="C24" t="s">
        <v>410</v>
      </c>
      <c r="D24" t="str">
        <f t="shared" si="0"/>
        <v>"fibroblast growth factor receptor signaling pathway",</v>
      </c>
      <c r="E24" t="s">
        <v>350</v>
      </c>
      <c r="F24" t="s">
        <v>596</v>
      </c>
      <c r="G24" t="str">
        <f t="shared" si="1"/>
        <v>"#7f6333",</v>
      </c>
      <c r="H24">
        <v>5</v>
      </c>
      <c r="I24">
        <v>0.70721357850070699</v>
      </c>
      <c r="J24">
        <v>4.2289222528525502E-2</v>
      </c>
      <c r="K24" s="8">
        <f t="shared" si="2"/>
        <v>1.3737702991206568</v>
      </c>
      <c r="L24" t="s">
        <v>132</v>
      </c>
      <c r="M24">
        <v>630</v>
      </c>
      <c r="N24">
        <v>46</v>
      </c>
      <c r="O24">
        <v>21944</v>
      </c>
      <c r="P24">
        <v>3.78605935127674</v>
      </c>
      <c r="Q24">
        <v>1</v>
      </c>
      <c r="R24">
        <v>1</v>
      </c>
      <c r="S24">
        <v>1</v>
      </c>
    </row>
    <row r="25" spans="1:19" x14ac:dyDescent="0.2">
      <c r="A25" t="s">
        <v>15</v>
      </c>
      <c r="B25" t="s">
        <v>427</v>
      </c>
      <c r="C25" t="s">
        <v>428</v>
      </c>
      <c r="D25" t="str">
        <f t="shared" si="0"/>
        <v>"apoptotic process",</v>
      </c>
      <c r="E25" t="s">
        <v>350</v>
      </c>
      <c r="F25" t="s">
        <v>596</v>
      </c>
      <c r="G25" t="str">
        <f t="shared" si="1"/>
        <v>"#7f6333",</v>
      </c>
      <c r="H25">
        <v>11</v>
      </c>
      <c r="I25">
        <v>1.5558698727015501</v>
      </c>
      <c r="J25">
        <v>4.3640053352219203E-2</v>
      </c>
      <c r="K25" s="8">
        <f t="shared" si="2"/>
        <v>1.360114727135936</v>
      </c>
      <c r="L25" t="s">
        <v>218</v>
      </c>
      <c r="M25">
        <v>630</v>
      </c>
      <c r="N25">
        <v>187</v>
      </c>
      <c r="O25">
        <v>21944</v>
      </c>
      <c r="P25">
        <v>2.0489262371615302</v>
      </c>
      <c r="Q25">
        <v>1</v>
      </c>
      <c r="R25">
        <v>1</v>
      </c>
      <c r="S25">
        <v>1</v>
      </c>
    </row>
    <row r="26" spans="1:19" x14ac:dyDescent="0.2">
      <c r="A26" t="s">
        <v>15</v>
      </c>
      <c r="B26" t="s">
        <v>639</v>
      </c>
      <c r="C26" t="s">
        <v>640</v>
      </c>
      <c r="D26" t="str">
        <f t="shared" si="0"/>
        <v>"axis elongation",</v>
      </c>
      <c r="E26" t="s">
        <v>350</v>
      </c>
      <c r="F26" t="s">
        <v>596</v>
      </c>
      <c r="G26" t="str">
        <f t="shared" si="1"/>
        <v>"#7f6333",</v>
      </c>
      <c r="H26">
        <v>3</v>
      </c>
      <c r="I26">
        <v>0.42432814710042399</v>
      </c>
      <c r="J26">
        <v>4.4763916778572499E-2</v>
      </c>
      <c r="K26" s="8">
        <f t="shared" si="2"/>
        <v>1.3490719203362787</v>
      </c>
      <c r="L26" t="s">
        <v>134</v>
      </c>
      <c r="M26">
        <v>630</v>
      </c>
      <c r="N26">
        <v>12</v>
      </c>
      <c r="O26">
        <v>21944</v>
      </c>
      <c r="P26">
        <v>8.7079365079365001</v>
      </c>
      <c r="Q26">
        <v>1</v>
      </c>
      <c r="R26">
        <v>1</v>
      </c>
      <c r="S26">
        <v>1</v>
      </c>
    </row>
    <row r="27" spans="1:19" x14ac:dyDescent="0.2">
      <c r="A27" t="s">
        <v>15</v>
      </c>
      <c r="B27" t="s">
        <v>701</v>
      </c>
      <c r="C27" t="s">
        <v>702</v>
      </c>
      <c r="D27" t="str">
        <f t="shared" si="0"/>
        <v>"long-term synaptic potentiation",</v>
      </c>
      <c r="E27" t="s">
        <v>350</v>
      </c>
      <c r="F27" t="s">
        <v>596</v>
      </c>
      <c r="G27" t="str">
        <f t="shared" si="1"/>
        <v>"#7f6333",</v>
      </c>
      <c r="H27">
        <v>3</v>
      </c>
      <c r="I27">
        <v>0.42432814710042399</v>
      </c>
      <c r="J27">
        <v>4.4763916778572499E-2</v>
      </c>
      <c r="K27" s="8">
        <f t="shared" si="2"/>
        <v>1.3490719203362787</v>
      </c>
      <c r="L27" t="s">
        <v>219</v>
      </c>
      <c r="M27">
        <v>630</v>
      </c>
      <c r="N27">
        <v>12</v>
      </c>
      <c r="O27">
        <v>21944</v>
      </c>
      <c r="P27">
        <v>8.7079365079365001</v>
      </c>
      <c r="Q27">
        <v>1</v>
      </c>
      <c r="R27">
        <v>1</v>
      </c>
      <c r="S27">
        <v>1</v>
      </c>
    </row>
    <row r="28" spans="1:19" x14ac:dyDescent="0.2">
      <c r="A28" t="s">
        <v>15</v>
      </c>
      <c r="B28" t="s">
        <v>423</v>
      </c>
      <c r="C28" t="s">
        <v>424</v>
      </c>
      <c r="D28" t="str">
        <f t="shared" si="0"/>
        <v>"intracellular protein transport",</v>
      </c>
      <c r="E28" t="s">
        <v>350</v>
      </c>
      <c r="F28" t="s">
        <v>596</v>
      </c>
      <c r="G28" t="str">
        <f t="shared" si="1"/>
        <v>"#7f6333",</v>
      </c>
      <c r="H28">
        <v>14</v>
      </c>
      <c r="I28">
        <v>1.98019801980198</v>
      </c>
      <c r="J28">
        <v>4.8655919072999897E-2</v>
      </c>
      <c r="K28" s="8">
        <f t="shared" si="2"/>
        <v>1.3128643195400205</v>
      </c>
      <c r="L28" t="s">
        <v>220</v>
      </c>
      <c r="M28">
        <v>630</v>
      </c>
      <c r="N28">
        <v>270</v>
      </c>
      <c r="O28">
        <v>21944</v>
      </c>
      <c r="P28">
        <v>1.8060905349794201</v>
      </c>
      <c r="Q28">
        <v>1</v>
      </c>
      <c r="R28">
        <v>1</v>
      </c>
      <c r="S28">
        <v>1</v>
      </c>
    </row>
    <row r="29" spans="1:19" x14ac:dyDescent="0.2">
      <c r="A29" t="s">
        <v>15</v>
      </c>
      <c r="B29" t="s">
        <v>703</v>
      </c>
      <c r="C29" t="s">
        <v>704</v>
      </c>
      <c r="D29" t="str">
        <f t="shared" si="0"/>
        <v>"G1/S transition of mitotic cell cycle",</v>
      </c>
      <c r="E29" t="s">
        <v>350</v>
      </c>
      <c r="F29" t="s">
        <v>596</v>
      </c>
      <c r="G29" t="str">
        <f t="shared" si="1"/>
        <v>"#7f6333",</v>
      </c>
      <c r="H29">
        <v>4</v>
      </c>
      <c r="I29">
        <v>0.56577086280056499</v>
      </c>
      <c r="J29">
        <v>4.9326347457018797E-2</v>
      </c>
      <c r="K29" s="8">
        <f t="shared" si="2"/>
        <v>1.3069210422104924</v>
      </c>
      <c r="L29" t="s">
        <v>221</v>
      </c>
      <c r="M29">
        <v>630</v>
      </c>
      <c r="N29">
        <v>29</v>
      </c>
      <c r="O29">
        <v>21944</v>
      </c>
      <c r="P29">
        <v>4.8043787629994501</v>
      </c>
      <c r="Q29">
        <v>1</v>
      </c>
      <c r="R29">
        <v>1</v>
      </c>
      <c r="S29">
        <v>1</v>
      </c>
    </row>
    <row r="30" spans="1:19" x14ac:dyDescent="0.2">
      <c r="A30" s="5" t="s">
        <v>15</v>
      </c>
      <c r="B30" s="5" t="s">
        <v>661</v>
      </c>
      <c r="C30" s="5" t="s">
        <v>662</v>
      </c>
      <c r="D30" s="5" t="str">
        <f t="shared" si="0"/>
        <v>"synaptic transmission, glutamatergic",</v>
      </c>
      <c r="E30" s="5" t="s">
        <v>350</v>
      </c>
      <c r="F30" s="5" t="s">
        <v>596</v>
      </c>
      <c r="G30" s="5" t="str">
        <f t="shared" si="1"/>
        <v>"#7f6333",</v>
      </c>
      <c r="H30" s="5">
        <v>5</v>
      </c>
      <c r="I30" s="5">
        <v>0.70721357850070699</v>
      </c>
      <c r="J30" s="5">
        <v>5.46556988938873E-2</v>
      </c>
      <c r="K30" s="9">
        <f t="shared" si="2"/>
        <v>1.2623645479113332</v>
      </c>
      <c r="L30" s="5" t="s">
        <v>222</v>
      </c>
      <c r="M30" s="5">
        <v>630</v>
      </c>
      <c r="N30" s="5">
        <v>50</v>
      </c>
      <c r="O30" s="5">
        <v>21944</v>
      </c>
      <c r="P30" s="5">
        <v>3.4831746031746</v>
      </c>
      <c r="Q30" s="5">
        <v>1</v>
      </c>
      <c r="R30" s="5">
        <v>1</v>
      </c>
      <c r="S30" s="5">
        <v>1</v>
      </c>
    </row>
    <row r="31" spans="1:19" x14ac:dyDescent="0.2">
      <c r="A31" s="5" t="s">
        <v>15</v>
      </c>
      <c r="B31" s="5" t="s">
        <v>637</v>
      </c>
      <c r="C31" s="5" t="s">
        <v>638</v>
      </c>
      <c r="D31" s="5" t="str">
        <f t="shared" si="0"/>
        <v>"axon guidance",</v>
      </c>
      <c r="E31" s="5" t="s">
        <v>350</v>
      </c>
      <c r="F31" s="5" t="s">
        <v>596</v>
      </c>
      <c r="G31" s="5" t="str">
        <f t="shared" si="1"/>
        <v>"#7f6333",</v>
      </c>
      <c r="H31" s="5">
        <v>12</v>
      </c>
      <c r="I31" s="5">
        <v>1.69731258840169</v>
      </c>
      <c r="J31" s="5">
        <v>5.4687190171899602E-2</v>
      </c>
      <c r="K31" s="9">
        <f t="shared" si="2"/>
        <v>1.2621143901047522</v>
      </c>
      <c r="L31" s="5" t="s">
        <v>223</v>
      </c>
      <c r="M31" s="5">
        <v>630</v>
      </c>
      <c r="N31" s="5">
        <v>221</v>
      </c>
      <c r="O31" s="5">
        <v>21944</v>
      </c>
      <c r="P31" s="5">
        <v>1.89131652661064</v>
      </c>
      <c r="Q31" s="5">
        <v>1</v>
      </c>
      <c r="R31" s="5">
        <v>1</v>
      </c>
      <c r="S31" s="5">
        <v>1</v>
      </c>
    </row>
    <row r="32" spans="1:19" x14ac:dyDescent="0.2">
      <c r="A32" s="5" t="s">
        <v>15</v>
      </c>
      <c r="B32" s="5" t="s">
        <v>659</v>
      </c>
      <c r="C32" s="5" t="s">
        <v>660</v>
      </c>
      <c r="D32" s="5" t="str">
        <f t="shared" si="0"/>
        <v>"extracellular matrix organization",</v>
      </c>
      <c r="E32" s="5" t="s">
        <v>350</v>
      </c>
      <c r="F32" s="5" t="s">
        <v>596</v>
      </c>
      <c r="G32" s="5" t="str">
        <f t="shared" si="1"/>
        <v>"#7f6333",</v>
      </c>
      <c r="H32" s="5">
        <v>9</v>
      </c>
      <c r="I32" s="5">
        <v>1.2729844413012701</v>
      </c>
      <c r="J32" s="5">
        <v>5.5770194889142102E-2</v>
      </c>
      <c r="K32" s="9">
        <f t="shared" si="2"/>
        <v>1.2535978378621935</v>
      </c>
      <c r="L32" s="5" t="s">
        <v>224</v>
      </c>
      <c r="M32" s="5">
        <v>630</v>
      </c>
      <c r="N32" s="5">
        <v>144</v>
      </c>
      <c r="O32" s="5">
        <v>21944</v>
      </c>
      <c r="P32" s="5">
        <v>2.1769841269841201</v>
      </c>
      <c r="Q32" s="5">
        <v>1</v>
      </c>
      <c r="R32" s="5">
        <v>1</v>
      </c>
      <c r="S32" s="5">
        <v>1</v>
      </c>
    </row>
    <row r="33" spans="1:19" x14ac:dyDescent="0.2">
      <c r="A33" s="5" t="s">
        <v>15</v>
      </c>
      <c r="B33" s="5" t="s">
        <v>649</v>
      </c>
      <c r="C33" s="5" t="s">
        <v>650</v>
      </c>
      <c r="D33" s="5" t="str">
        <f t="shared" si="0"/>
        <v>"cell-cell adhesion",</v>
      </c>
      <c r="E33" s="5" t="s">
        <v>350</v>
      </c>
      <c r="F33" s="5" t="s">
        <v>596</v>
      </c>
      <c r="G33" s="5" t="str">
        <f t="shared" si="1"/>
        <v>"#7f6333",</v>
      </c>
      <c r="H33" s="5">
        <v>11</v>
      </c>
      <c r="I33" s="5">
        <v>1.5558698727015501</v>
      </c>
      <c r="J33" s="5">
        <v>5.8146951392268803E-2</v>
      </c>
      <c r="K33" s="9">
        <f t="shared" si="2"/>
        <v>1.235473050122508</v>
      </c>
      <c r="L33" s="5" t="s">
        <v>225</v>
      </c>
      <c r="M33" s="5">
        <v>630</v>
      </c>
      <c r="N33" s="5">
        <v>197</v>
      </c>
      <c r="O33" s="5">
        <v>21944</v>
      </c>
      <c r="P33" s="5">
        <v>1.9449198291837799</v>
      </c>
      <c r="Q33" s="5">
        <v>1</v>
      </c>
      <c r="R33" s="5">
        <v>1</v>
      </c>
      <c r="S33" s="5">
        <v>1</v>
      </c>
    </row>
    <row r="34" spans="1:19" x14ac:dyDescent="0.2">
      <c r="A34" s="5" t="s">
        <v>15</v>
      </c>
      <c r="B34" s="5" t="s">
        <v>705</v>
      </c>
      <c r="C34" s="5" t="s">
        <v>706</v>
      </c>
      <c r="D34" s="5" t="str">
        <f t="shared" si="0"/>
        <v>"positive regulation of autophagy",</v>
      </c>
      <c r="E34" s="5" t="s">
        <v>350</v>
      </c>
      <c r="F34" s="5" t="s">
        <v>596</v>
      </c>
      <c r="G34" s="5" t="str">
        <f t="shared" si="1"/>
        <v>"#7f6333",</v>
      </c>
      <c r="H34" s="5">
        <v>3</v>
      </c>
      <c r="I34" s="5">
        <v>0.42432814710042399</v>
      </c>
      <c r="J34" s="5">
        <v>5.9449861461053202E-2</v>
      </c>
      <c r="K34" s="9">
        <f t="shared" si="2"/>
        <v>1.2258491531019797</v>
      </c>
      <c r="L34" s="5" t="s">
        <v>226</v>
      </c>
      <c r="M34" s="5">
        <v>630</v>
      </c>
      <c r="N34" s="5">
        <v>14</v>
      </c>
      <c r="O34" s="5">
        <v>21944</v>
      </c>
      <c r="P34" s="5">
        <v>7.4639455782312902</v>
      </c>
      <c r="Q34" s="5">
        <v>1</v>
      </c>
      <c r="R34" s="5">
        <v>1</v>
      </c>
      <c r="S34" s="5">
        <v>1</v>
      </c>
    </row>
    <row r="35" spans="1:19" x14ac:dyDescent="0.2">
      <c r="A35" s="5" t="s">
        <v>15</v>
      </c>
      <c r="B35" s="5" t="s">
        <v>657</v>
      </c>
      <c r="C35" s="5" t="s">
        <v>658</v>
      </c>
      <c r="D35" s="5" t="str">
        <f t="shared" si="0"/>
        <v>"negative regulation of transcription by RNA polymerase II",</v>
      </c>
      <c r="E35" s="5" t="s">
        <v>350</v>
      </c>
      <c r="F35" s="5" t="s">
        <v>596</v>
      </c>
      <c r="G35" s="5" t="str">
        <f t="shared" si="1"/>
        <v>"#7f6333",</v>
      </c>
      <c r="H35" s="5">
        <v>14</v>
      </c>
      <c r="I35" s="5">
        <v>1.98019801980198</v>
      </c>
      <c r="J35" s="5">
        <v>6.2386514567953799E-2</v>
      </c>
      <c r="K35" s="9">
        <f t="shared" si="2"/>
        <v>1.2049092770108933</v>
      </c>
      <c r="L35" s="5" t="s">
        <v>227</v>
      </c>
      <c r="M35" s="5">
        <v>630</v>
      </c>
      <c r="N35" s="5">
        <v>280</v>
      </c>
      <c r="O35" s="5">
        <v>21944</v>
      </c>
      <c r="P35" s="5">
        <v>1.7415873015873</v>
      </c>
      <c r="Q35" s="5">
        <v>1</v>
      </c>
      <c r="R35" s="5">
        <v>1</v>
      </c>
      <c r="S35" s="5">
        <v>1</v>
      </c>
    </row>
    <row r="36" spans="1:19" x14ac:dyDescent="0.2">
      <c r="A36" s="5" t="s">
        <v>15</v>
      </c>
      <c r="B36" s="5" t="s">
        <v>707</v>
      </c>
      <c r="C36" s="5" t="s">
        <v>708</v>
      </c>
      <c r="D36" s="5" t="str">
        <f t="shared" si="0"/>
        <v>"sprouting angiogenesis",</v>
      </c>
      <c r="E36" s="5" t="s">
        <v>350</v>
      </c>
      <c r="F36" s="5" t="s">
        <v>596</v>
      </c>
      <c r="G36" s="5" t="str">
        <f t="shared" si="1"/>
        <v>"#7f6333",</v>
      </c>
      <c r="H36" s="5">
        <v>8</v>
      </c>
      <c r="I36" s="5">
        <v>1.13154172560113</v>
      </c>
      <c r="J36" s="5">
        <v>6.3920531777248699E-2</v>
      </c>
      <c r="K36" s="9">
        <f t="shared" si="2"/>
        <v>1.1943596206314235</v>
      </c>
      <c r="L36" s="5" t="s">
        <v>228</v>
      </c>
      <c r="M36" s="5">
        <v>630</v>
      </c>
      <c r="N36" s="5">
        <v>123</v>
      </c>
      <c r="O36" s="5">
        <v>21944</v>
      </c>
      <c r="P36" s="5">
        <v>2.2654794166989198</v>
      </c>
      <c r="Q36" s="5">
        <v>1</v>
      </c>
      <c r="R36" s="5">
        <v>1</v>
      </c>
      <c r="S36" s="5">
        <v>1</v>
      </c>
    </row>
    <row r="37" spans="1:19" x14ac:dyDescent="0.2">
      <c r="A37" s="5" t="s">
        <v>15</v>
      </c>
      <c r="B37" s="5" t="s">
        <v>709</v>
      </c>
      <c r="C37" s="5" t="s">
        <v>710</v>
      </c>
      <c r="D37" s="5" t="str">
        <f t="shared" si="0"/>
        <v>"regulation of DNA-templated transcription",</v>
      </c>
      <c r="E37" s="5" t="s">
        <v>350</v>
      </c>
      <c r="F37" s="5" t="s">
        <v>596</v>
      </c>
      <c r="G37" s="5" t="str">
        <f t="shared" si="1"/>
        <v>"#7f6333",</v>
      </c>
      <c r="H37" s="5">
        <v>41</v>
      </c>
      <c r="I37" s="5">
        <v>5.7991513437057902</v>
      </c>
      <c r="J37" s="5">
        <v>6.7546708060957195E-2</v>
      </c>
      <c r="K37" s="9">
        <f t="shared" si="2"/>
        <v>1.1703958117907074</v>
      </c>
      <c r="L37" s="5" t="s">
        <v>229</v>
      </c>
      <c r="M37" s="5">
        <v>630</v>
      </c>
      <c r="N37" s="5">
        <v>1091</v>
      </c>
      <c r="O37" s="5">
        <v>21944</v>
      </c>
      <c r="P37" s="5">
        <v>1.30898403968981</v>
      </c>
      <c r="Q37" s="5">
        <v>1</v>
      </c>
      <c r="R37" s="5">
        <v>1</v>
      </c>
      <c r="S37" s="5">
        <v>1</v>
      </c>
    </row>
    <row r="38" spans="1:19" x14ac:dyDescent="0.2">
      <c r="A38" s="5" t="s">
        <v>15</v>
      </c>
      <c r="B38" s="5" t="s">
        <v>425</v>
      </c>
      <c r="C38" s="5" t="s">
        <v>426</v>
      </c>
      <c r="D38" s="5" t="str">
        <f t="shared" si="0"/>
        <v>"regulation of membrane potential",</v>
      </c>
      <c r="E38" s="5" t="s">
        <v>350</v>
      </c>
      <c r="F38" s="5" t="s">
        <v>596</v>
      </c>
      <c r="G38" s="5" t="str">
        <f t="shared" si="1"/>
        <v>"#7f6333",</v>
      </c>
      <c r="H38" s="5">
        <v>5</v>
      </c>
      <c r="I38" s="5">
        <v>0.70721357850070699</v>
      </c>
      <c r="J38" s="5">
        <v>7.2555954359379601E-2</v>
      </c>
      <c r="K38" s="9">
        <f t="shared" si="2"/>
        <v>1.1393269410579456</v>
      </c>
      <c r="L38" s="5" t="s">
        <v>136</v>
      </c>
      <c r="M38" s="5">
        <v>630</v>
      </c>
      <c r="N38" s="5">
        <v>55</v>
      </c>
      <c r="O38" s="5">
        <v>21944</v>
      </c>
      <c r="P38" s="5">
        <v>3.1665223665223601</v>
      </c>
      <c r="Q38" s="5">
        <v>1</v>
      </c>
      <c r="R38" s="5">
        <v>1</v>
      </c>
      <c r="S38" s="5">
        <v>1</v>
      </c>
    </row>
    <row r="39" spans="1:19" x14ac:dyDescent="0.2">
      <c r="A39" s="5" t="s">
        <v>15</v>
      </c>
      <c r="B39" s="5" t="s">
        <v>711</v>
      </c>
      <c r="C39" s="5" t="s">
        <v>712</v>
      </c>
      <c r="D39" s="5" t="str">
        <f t="shared" si="0"/>
        <v>"phospholipid metabolic process",</v>
      </c>
      <c r="E39" s="5" t="s">
        <v>350</v>
      </c>
      <c r="F39" s="5" t="s">
        <v>596</v>
      </c>
      <c r="G39" s="5" t="str">
        <f t="shared" si="1"/>
        <v>"#7f6333",</v>
      </c>
      <c r="H39" s="5">
        <v>4</v>
      </c>
      <c r="I39" s="5">
        <v>0.56577086280056499</v>
      </c>
      <c r="J39" s="5">
        <v>7.2836890219606196E-2</v>
      </c>
      <c r="K39" s="9">
        <f t="shared" si="2"/>
        <v>1.1376486047400463</v>
      </c>
      <c r="L39" s="5" t="s">
        <v>230</v>
      </c>
      <c r="M39" s="5">
        <v>630</v>
      </c>
      <c r="N39" s="5">
        <v>34</v>
      </c>
      <c r="O39" s="5">
        <v>21944</v>
      </c>
      <c r="P39" s="5">
        <v>4.0978524743230604</v>
      </c>
      <c r="Q39" s="5">
        <v>1</v>
      </c>
      <c r="R39" s="5">
        <v>1</v>
      </c>
      <c r="S39" s="5">
        <v>1</v>
      </c>
    </row>
    <row r="40" spans="1:19" x14ac:dyDescent="0.2">
      <c r="A40" s="5" t="s">
        <v>15</v>
      </c>
      <c r="B40" s="5" t="s">
        <v>453</v>
      </c>
      <c r="C40" s="5" t="s">
        <v>454</v>
      </c>
      <c r="D40" s="5" t="str">
        <f t="shared" si="0"/>
        <v>"midbrain development",</v>
      </c>
      <c r="E40" s="5" t="s">
        <v>350</v>
      </c>
      <c r="F40" s="5" t="s">
        <v>596</v>
      </c>
      <c r="G40" s="5" t="str">
        <f t="shared" si="1"/>
        <v>"#7f6333",</v>
      </c>
      <c r="H40" s="5">
        <v>4</v>
      </c>
      <c r="I40" s="5">
        <v>0.56577086280056499</v>
      </c>
      <c r="J40" s="5">
        <v>7.2836890219606196E-2</v>
      </c>
      <c r="K40" s="9">
        <f t="shared" si="2"/>
        <v>1.1376486047400463</v>
      </c>
      <c r="L40" s="5" t="s">
        <v>231</v>
      </c>
      <c r="M40" s="5">
        <v>630</v>
      </c>
      <c r="N40" s="5">
        <v>34</v>
      </c>
      <c r="O40" s="5">
        <v>21944</v>
      </c>
      <c r="P40" s="5">
        <v>4.0978524743230604</v>
      </c>
      <c r="Q40" s="5">
        <v>1</v>
      </c>
      <c r="R40" s="5">
        <v>1</v>
      </c>
      <c r="S40" s="5">
        <v>1</v>
      </c>
    </row>
    <row r="41" spans="1:19" x14ac:dyDescent="0.2">
      <c r="A41" s="5" t="s">
        <v>15</v>
      </c>
      <c r="B41" s="5" t="s">
        <v>713</v>
      </c>
      <c r="C41" s="5" t="s">
        <v>714</v>
      </c>
      <c r="D41" s="5" t="str">
        <f t="shared" si="0"/>
        <v>"homophilic cell adhesion via plasma membrane adhesion molecules",</v>
      </c>
      <c r="E41" s="5" t="s">
        <v>350</v>
      </c>
      <c r="F41" s="5" t="s">
        <v>596</v>
      </c>
      <c r="G41" s="5" t="str">
        <f t="shared" si="1"/>
        <v>"#7f6333",</v>
      </c>
      <c r="H41" s="5">
        <v>12</v>
      </c>
      <c r="I41" s="5">
        <v>1.69731258840169</v>
      </c>
      <c r="J41" s="5">
        <v>7.3665701576546602E-2</v>
      </c>
      <c r="K41" s="9">
        <f t="shared" si="2"/>
        <v>1.1327346706643144</v>
      </c>
      <c r="L41" s="5" t="s">
        <v>232</v>
      </c>
      <c r="M41" s="5">
        <v>630</v>
      </c>
      <c r="N41" s="5">
        <v>233</v>
      </c>
      <c r="O41" s="5">
        <v>21944</v>
      </c>
      <c r="P41" s="5">
        <v>1.7939096668710399</v>
      </c>
      <c r="Q41" s="5">
        <v>1</v>
      </c>
      <c r="R41" s="5">
        <v>1</v>
      </c>
      <c r="S41" s="5">
        <v>1</v>
      </c>
    </row>
    <row r="42" spans="1:19" x14ac:dyDescent="0.2">
      <c r="A42" s="5" t="s">
        <v>15</v>
      </c>
      <c r="B42" s="5" t="s">
        <v>715</v>
      </c>
      <c r="C42" s="5" t="s">
        <v>716</v>
      </c>
      <c r="D42" s="5" t="str">
        <f t="shared" si="0"/>
        <v>"cellular response to amino acid starvation",</v>
      </c>
      <c r="E42" s="5" t="s">
        <v>350</v>
      </c>
      <c r="F42" s="5" t="s">
        <v>596</v>
      </c>
      <c r="G42" s="5" t="str">
        <f t="shared" si="1"/>
        <v>"#7f6333",</v>
      </c>
      <c r="H42" s="5">
        <v>3</v>
      </c>
      <c r="I42" s="5">
        <v>0.42432814710042399</v>
      </c>
      <c r="J42" s="5">
        <v>7.5526635376580997E-2</v>
      </c>
      <c r="K42" s="9">
        <f t="shared" si="2"/>
        <v>1.1218998621839695</v>
      </c>
      <c r="L42" s="5" t="s">
        <v>233</v>
      </c>
      <c r="M42" s="5">
        <v>630</v>
      </c>
      <c r="N42" s="5">
        <v>16</v>
      </c>
      <c r="O42" s="5">
        <v>21944</v>
      </c>
      <c r="P42" s="5">
        <v>6.53095238095238</v>
      </c>
      <c r="Q42" s="5">
        <v>1</v>
      </c>
      <c r="R42" s="5">
        <v>1</v>
      </c>
      <c r="S42" s="5">
        <v>1</v>
      </c>
    </row>
    <row r="43" spans="1:19" x14ac:dyDescent="0.2">
      <c r="A43" s="5" t="s">
        <v>15</v>
      </c>
      <c r="B43" s="5" t="s">
        <v>653</v>
      </c>
      <c r="C43" s="5" t="s">
        <v>654</v>
      </c>
      <c r="D43" s="5" t="str">
        <f t="shared" si="0"/>
        <v>"anterior commissure morphogenesis",</v>
      </c>
      <c r="E43" s="5" t="s">
        <v>350</v>
      </c>
      <c r="F43" s="5" t="s">
        <v>596</v>
      </c>
      <c r="G43" s="5" t="str">
        <f t="shared" si="1"/>
        <v>"#7f6333",</v>
      </c>
      <c r="H43" s="5">
        <v>2</v>
      </c>
      <c r="I43" s="5">
        <v>0.28288543140028199</v>
      </c>
      <c r="J43" s="5">
        <v>8.3554010672932694E-2</v>
      </c>
      <c r="K43" s="9">
        <f t="shared" si="2"/>
        <v>1.0780326987171085</v>
      </c>
      <c r="L43" s="5" t="s">
        <v>148</v>
      </c>
      <c r="M43" s="5">
        <v>630</v>
      </c>
      <c r="N43" s="5">
        <v>3</v>
      </c>
      <c r="O43" s="5">
        <v>21944</v>
      </c>
      <c r="P43" s="5">
        <v>23.221164021164</v>
      </c>
      <c r="Q43" s="5">
        <v>1</v>
      </c>
      <c r="R43" s="5">
        <v>1</v>
      </c>
      <c r="S43" s="5">
        <v>1</v>
      </c>
    </row>
    <row r="44" spans="1:19" x14ac:dyDescent="0.2">
      <c r="A44" s="5" t="s">
        <v>15</v>
      </c>
      <c r="B44" s="5" t="s">
        <v>717</v>
      </c>
      <c r="C44" s="5" t="s">
        <v>718</v>
      </c>
      <c r="D44" s="5" t="str">
        <f t="shared" si="0"/>
        <v>"regulation of arginine metabolic process",</v>
      </c>
      <c r="E44" s="5" t="s">
        <v>350</v>
      </c>
      <c r="F44" s="5" t="s">
        <v>596</v>
      </c>
      <c r="G44" s="5" t="str">
        <f t="shared" si="1"/>
        <v>"#7f6333",</v>
      </c>
      <c r="H44" s="5">
        <v>2</v>
      </c>
      <c r="I44" s="5">
        <v>0.28288543140028199</v>
      </c>
      <c r="J44" s="5">
        <v>8.3554010672932694E-2</v>
      </c>
      <c r="K44" s="9">
        <f t="shared" si="2"/>
        <v>1.0780326987171085</v>
      </c>
      <c r="L44" s="5" t="s">
        <v>234</v>
      </c>
      <c r="M44" s="5">
        <v>630</v>
      </c>
      <c r="N44" s="5">
        <v>3</v>
      </c>
      <c r="O44" s="5">
        <v>21944</v>
      </c>
      <c r="P44" s="5">
        <v>23.221164021164</v>
      </c>
      <c r="Q44" s="5">
        <v>1</v>
      </c>
      <c r="R44" s="5">
        <v>1</v>
      </c>
      <c r="S44" s="5">
        <v>1</v>
      </c>
    </row>
    <row r="45" spans="1:19" x14ac:dyDescent="0.2">
      <c r="A45" s="5" t="s">
        <v>15</v>
      </c>
      <c r="B45" s="5" t="s">
        <v>719</v>
      </c>
      <c r="C45" s="5" t="s">
        <v>720</v>
      </c>
      <c r="D45" s="5" t="str">
        <f t="shared" si="0"/>
        <v>"regulation of non-canonical Wnt signaling pathway",</v>
      </c>
      <c r="E45" s="5" t="s">
        <v>350</v>
      </c>
      <c r="F45" s="5" t="s">
        <v>596</v>
      </c>
      <c r="G45" s="5" t="str">
        <f t="shared" si="1"/>
        <v>"#7f6333",</v>
      </c>
      <c r="H45" s="5">
        <v>2</v>
      </c>
      <c r="I45" s="5">
        <v>0.28288543140028199</v>
      </c>
      <c r="J45" s="5">
        <v>8.3554010672932694E-2</v>
      </c>
      <c r="K45" s="9">
        <f t="shared" si="2"/>
        <v>1.0780326987171085</v>
      </c>
      <c r="L45" s="5" t="s">
        <v>235</v>
      </c>
      <c r="M45" s="5">
        <v>630</v>
      </c>
      <c r="N45" s="5">
        <v>3</v>
      </c>
      <c r="O45" s="5">
        <v>21944</v>
      </c>
      <c r="P45" s="5">
        <v>23.221164021164</v>
      </c>
      <c r="Q45" s="5">
        <v>1</v>
      </c>
      <c r="R45" s="5">
        <v>1</v>
      </c>
      <c r="S45" s="5">
        <v>1</v>
      </c>
    </row>
    <row r="46" spans="1:19" x14ac:dyDescent="0.2">
      <c r="A46" s="5" t="s">
        <v>15</v>
      </c>
      <c r="B46" s="5" t="s">
        <v>721</v>
      </c>
      <c r="C46" s="5" t="s">
        <v>722</v>
      </c>
      <c r="D46" s="5" t="str">
        <f t="shared" si="0"/>
        <v>"regulation of gluconeogenesis",</v>
      </c>
      <c r="E46" s="5" t="s">
        <v>350</v>
      </c>
      <c r="F46" s="5" t="s">
        <v>596</v>
      </c>
      <c r="G46" s="5" t="str">
        <f t="shared" si="1"/>
        <v>"#7f6333",</v>
      </c>
      <c r="H46" s="5">
        <v>2</v>
      </c>
      <c r="I46" s="5">
        <v>0.28288543140028199</v>
      </c>
      <c r="J46" s="5">
        <v>8.3554010672932694E-2</v>
      </c>
      <c r="K46" s="9">
        <f t="shared" si="2"/>
        <v>1.0780326987171085</v>
      </c>
      <c r="L46" s="5" t="s">
        <v>236</v>
      </c>
      <c r="M46" s="5">
        <v>630</v>
      </c>
      <c r="N46" s="5">
        <v>3</v>
      </c>
      <c r="O46" s="5">
        <v>21944</v>
      </c>
      <c r="P46" s="5">
        <v>23.221164021164</v>
      </c>
      <c r="Q46" s="5">
        <v>1</v>
      </c>
      <c r="R46" s="5">
        <v>1</v>
      </c>
      <c r="S46" s="5">
        <v>1</v>
      </c>
    </row>
    <row r="47" spans="1:19" x14ac:dyDescent="0.2">
      <c r="A47" s="5" t="s">
        <v>15</v>
      </c>
      <c r="B47" s="5" t="s">
        <v>723</v>
      </c>
      <c r="C47" s="5" t="s">
        <v>724</v>
      </c>
      <c r="D47" s="5" t="str">
        <f t="shared" si="0"/>
        <v>"chromatin remodeling",</v>
      </c>
      <c r="E47" s="5" t="s">
        <v>350</v>
      </c>
      <c r="F47" s="5" t="s">
        <v>596</v>
      </c>
      <c r="G47" s="5" t="str">
        <f t="shared" si="1"/>
        <v>"#7f6333",</v>
      </c>
      <c r="H47" s="5">
        <v>7</v>
      </c>
      <c r="I47" s="5">
        <v>0.99009900990098998</v>
      </c>
      <c r="J47" s="5">
        <v>8.4384556365598801E-2</v>
      </c>
      <c r="K47" s="9">
        <f t="shared" si="2"/>
        <v>1.0737370284799366</v>
      </c>
      <c r="L47" s="5" t="s">
        <v>237</v>
      </c>
      <c r="M47" s="5">
        <v>630</v>
      </c>
      <c r="N47" s="5">
        <v>106</v>
      </c>
      <c r="O47" s="5">
        <v>21944</v>
      </c>
      <c r="P47" s="5">
        <v>2.3002096436058701</v>
      </c>
      <c r="Q47" s="5">
        <v>1</v>
      </c>
      <c r="R47" s="5">
        <v>1</v>
      </c>
      <c r="S47" s="5">
        <v>1</v>
      </c>
    </row>
    <row r="48" spans="1:19" x14ac:dyDescent="0.2">
      <c r="A48" s="5" t="s">
        <v>15</v>
      </c>
      <c r="B48" s="5" t="s">
        <v>403</v>
      </c>
      <c r="C48" s="5" t="s">
        <v>404</v>
      </c>
      <c r="D48" s="5" t="str">
        <f t="shared" si="0"/>
        <v>"positive regulation of kinase activity",</v>
      </c>
      <c r="E48" s="5" t="s">
        <v>350</v>
      </c>
      <c r="F48" s="5" t="s">
        <v>596</v>
      </c>
      <c r="G48" s="5" t="str">
        <f t="shared" si="1"/>
        <v>"#7f6333",</v>
      </c>
      <c r="H48" s="5">
        <v>5</v>
      </c>
      <c r="I48" s="5">
        <v>0.70721357850070699</v>
      </c>
      <c r="J48" s="5">
        <v>8.8757267295064002E-2</v>
      </c>
      <c r="K48" s="9">
        <f t="shared" si="2"/>
        <v>1.0517960775187143</v>
      </c>
      <c r="L48" s="5" t="s">
        <v>20</v>
      </c>
      <c r="M48" s="5">
        <v>630</v>
      </c>
      <c r="N48" s="5">
        <v>59</v>
      </c>
      <c r="O48" s="5">
        <v>21944</v>
      </c>
      <c r="P48" s="5">
        <v>2.95184288404627</v>
      </c>
      <c r="Q48" s="5">
        <v>1</v>
      </c>
      <c r="R48" s="5">
        <v>1</v>
      </c>
      <c r="S48" s="5">
        <v>1</v>
      </c>
    </row>
    <row r="49" spans="1:19" x14ac:dyDescent="0.2">
      <c r="A49" s="5" t="s">
        <v>15</v>
      </c>
      <c r="B49" s="5" t="s">
        <v>725</v>
      </c>
      <c r="C49" s="5" t="s">
        <v>726</v>
      </c>
      <c r="D49" s="5" t="str">
        <f t="shared" si="0"/>
        <v>"cell migration",</v>
      </c>
      <c r="E49" s="5" t="s">
        <v>350</v>
      </c>
      <c r="F49" s="5" t="s">
        <v>596</v>
      </c>
      <c r="G49" s="5" t="str">
        <f t="shared" si="1"/>
        <v>"#7f6333",</v>
      </c>
      <c r="H49" s="5">
        <v>10</v>
      </c>
      <c r="I49" s="5">
        <v>1.41442715700141</v>
      </c>
      <c r="J49" s="5">
        <v>9.2476592093239898E-2</v>
      </c>
      <c r="K49" s="9">
        <f t="shared" si="2"/>
        <v>1.0339681830581831</v>
      </c>
      <c r="L49" s="5" t="s">
        <v>238</v>
      </c>
      <c r="M49" s="5">
        <v>630</v>
      </c>
      <c r="N49" s="5">
        <v>188</v>
      </c>
      <c r="O49" s="5">
        <v>21944</v>
      </c>
      <c r="P49" s="5">
        <v>1.8527524484971201</v>
      </c>
      <c r="Q49" s="5">
        <v>1</v>
      </c>
      <c r="R49" s="5">
        <v>1</v>
      </c>
      <c r="S49" s="5">
        <v>1</v>
      </c>
    </row>
    <row r="50" spans="1:19" x14ac:dyDescent="0.2">
      <c r="A50" s="5" t="s">
        <v>15</v>
      </c>
      <c r="B50" s="5" t="s">
        <v>727</v>
      </c>
      <c r="C50" s="5" t="s">
        <v>728</v>
      </c>
      <c r="D50" s="5" t="str">
        <f t="shared" si="0"/>
        <v>"epithelial cilium movement involved in determination of left/right asymmetry",</v>
      </c>
      <c r="E50" s="5" t="s">
        <v>350</v>
      </c>
      <c r="F50" s="5" t="s">
        <v>596</v>
      </c>
      <c r="G50" s="5" t="str">
        <f t="shared" si="1"/>
        <v>"#7f6333",</v>
      </c>
      <c r="H50" s="5">
        <v>3</v>
      </c>
      <c r="I50" s="5">
        <v>0.42432814710042399</v>
      </c>
      <c r="J50" s="5">
        <v>9.2790702515323703E-2</v>
      </c>
      <c r="K50" s="9">
        <f t="shared" si="2"/>
        <v>1.0324955372356284</v>
      </c>
      <c r="L50" s="5" t="s">
        <v>239</v>
      </c>
      <c r="M50" s="5">
        <v>630</v>
      </c>
      <c r="N50" s="5">
        <v>18</v>
      </c>
      <c r="O50" s="5">
        <v>21944</v>
      </c>
      <c r="P50" s="5">
        <v>5.8052910052910001</v>
      </c>
      <c r="Q50" s="5">
        <v>1</v>
      </c>
      <c r="R50" s="5">
        <v>1</v>
      </c>
      <c r="S50" s="5">
        <v>1</v>
      </c>
    </row>
    <row r="51" spans="1:19" x14ac:dyDescent="0.2">
      <c r="A51" s="5" t="s">
        <v>15</v>
      </c>
      <c r="B51" s="5" t="s">
        <v>647</v>
      </c>
      <c r="C51" s="5" t="s">
        <v>648</v>
      </c>
      <c r="D51" s="5" t="str">
        <f t="shared" si="0"/>
        <v>"central nervous system projection neuron axonogenesis",</v>
      </c>
      <c r="E51" s="5" t="s">
        <v>350</v>
      </c>
      <c r="F51" s="5" t="s">
        <v>596</v>
      </c>
      <c r="G51" s="5" t="str">
        <f t="shared" si="1"/>
        <v>"#7f6333",</v>
      </c>
      <c r="H51" s="5">
        <v>3</v>
      </c>
      <c r="I51" s="5">
        <v>0.42432814710042399</v>
      </c>
      <c r="J51" s="5">
        <v>9.2790702515323703E-2</v>
      </c>
      <c r="K51" s="9">
        <f t="shared" si="2"/>
        <v>1.0324955372356284</v>
      </c>
      <c r="L51" s="5" t="s">
        <v>143</v>
      </c>
      <c r="M51" s="5">
        <v>630</v>
      </c>
      <c r="N51" s="5">
        <v>18</v>
      </c>
      <c r="O51" s="5">
        <v>21944</v>
      </c>
      <c r="P51" s="5">
        <v>5.8052910052910001</v>
      </c>
      <c r="Q51" s="5">
        <v>1</v>
      </c>
      <c r="R51" s="5">
        <v>1</v>
      </c>
      <c r="S51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1EA9-FC20-3A4E-BFFB-61AA36B0FF6D}">
  <dimension ref="A1:S26"/>
  <sheetViews>
    <sheetView workbookViewId="0">
      <selection activeCell="K1" sqref="K1:K2"/>
    </sheetView>
  </sheetViews>
  <sheetFormatPr baseColWidth="10" defaultRowHeight="16" x14ac:dyDescent="0.2"/>
  <cols>
    <col min="1" max="1" width="18.6640625" bestFit="1" customWidth="1"/>
    <col min="2" max="2" width="11.33203125" bestFit="1" customWidth="1"/>
    <col min="3" max="3" width="38.6640625" bestFit="1" customWidth="1"/>
    <col min="4" max="4" width="40.83203125" bestFit="1" customWidth="1"/>
    <col min="5" max="5" width="17.3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46</v>
      </c>
      <c r="B2" s="2" t="s">
        <v>379</v>
      </c>
      <c r="C2" s="2" t="s">
        <v>380</v>
      </c>
      <c r="D2" s="2" t="str">
        <f>CHAR(34)&amp;C2&amp;CHAR(34)&amp;","</f>
        <v>"lysosomal membrane",</v>
      </c>
      <c r="E2" s="2" t="s">
        <v>394</v>
      </c>
      <c r="F2" s="2" t="s">
        <v>597</v>
      </c>
      <c r="G2" s="2" t="str">
        <f>CHAR(34)&amp;F2&amp;CHAR(34)&amp;","</f>
        <v>"#0da285",</v>
      </c>
      <c r="H2" s="2">
        <v>13</v>
      </c>
      <c r="I2" s="2">
        <v>1.8387553041018301</v>
      </c>
      <c r="J2" s="2">
        <v>3.0782749045015598E-3</v>
      </c>
      <c r="K2" s="7">
        <f>-(LOG(J2))</f>
        <v>2.5116925982222478</v>
      </c>
      <c r="L2" s="2" t="s">
        <v>240</v>
      </c>
      <c r="M2" s="2">
        <v>644</v>
      </c>
      <c r="N2" s="2">
        <v>170</v>
      </c>
      <c r="O2" s="2">
        <v>22986</v>
      </c>
      <c r="P2" s="2">
        <v>2.7294300328827101</v>
      </c>
      <c r="Q2" s="2">
        <v>0.63510599688371605</v>
      </c>
      <c r="R2" s="2">
        <v>0.61797267730530103</v>
      </c>
      <c r="S2" s="2">
        <v>0.61797267730530103</v>
      </c>
    </row>
    <row r="3" spans="1:19" x14ac:dyDescent="0.2">
      <c r="A3" s="2" t="s">
        <v>46</v>
      </c>
      <c r="B3" s="2" t="s">
        <v>673</v>
      </c>
      <c r="C3" s="2" t="s">
        <v>674</v>
      </c>
      <c r="D3" s="2" t="str">
        <f t="shared" ref="D3:D26" si="0">CHAR(34)&amp;C3&amp;CHAR(34)&amp;","</f>
        <v>"adherens junction",</v>
      </c>
      <c r="E3" s="2" t="s">
        <v>394</v>
      </c>
      <c r="F3" s="2" t="s">
        <v>597</v>
      </c>
      <c r="G3" s="2" t="str">
        <f t="shared" ref="G3:G26" si="1">CHAR(34)&amp;F3&amp;CHAR(34)&amp;","</f>
        <v>"#0da285",</v>
      </c>
      <c r="H3" s="2">
        <v>12</v>
      </c>
      <c r="I3" s="2">
        <v>1.69731258840169</v>
      </c>
      <c r="J3" s="2">
        <v>3.9203466799513902E-3</v>
      </c>
      <c r="K3" s="7">
        <f t="shared" ref="K3:K26" si="2">-(LOG(J3))</f>
        <v>2.4066755262110364</v>
      </c>
      <c r="L3" s="2" t="s">
        <v>241</v>
      </c>
      <c r="M3" s="2">
        <v>644</v>
      </c>
      <c r="N3" s="2">
        <v>153</v>
      </c>
      <c r="O3" s="2">
        <v>22986</v>
      </c>
      <c r="P3" s="2">
        <v>2.7994154183412499</v>
      </c>
      <c r="Q3" s="2">
        <v>0.72320352828671497</v>
      </c>
      <c r="R3" s="2">
        <v>0.61797267730530103</v>
      </c>
      <c r="S3" s="2">
        <v>0.61797267730530103</v>
      </c>
    </row>
    <row r="4" spans="1:19" x14ac:dyDescent="0.2">
      <c r="A4" t="s">
        <v>46</v>
      </c>
      <c r="B4" t="s">
        <v>353</v>
      </c>
      <c r="C4" t="s">
        <v>354</v>
      </c>
      <c r="D4" t="str">
        <f t="shared" si="0"/>
        <v>"cytoplasm",</v>
      </c>
      <c r="E4" t="s">
        <v>394</v>
      </c>
      <c r="F4" t="s">
        <v>597</v>
      </c>
      <c r="G4" t="str">
        <f t="shared" si="1"/>
        <v>"#0da285",</v>
      </c>
      <c r="H4">
        <v>177</v>
      </c>
      <c r="I4">
        <v>25.035360678924999</v>
      </c>
      <c r="J4">
        <v>1.01941244394736E-2</v>
      </c>
      <c r="K4" s="8">
        <f t="shared" si="2"/>
        <v>1.9916500692908794</v>
      </c>
      <c r="L4" t="s">
        <v>242</v>
      </c>
      <c r="M4">
        <v>644</v>
      </c>
      <c r="N4">
        <v>5385</v>
      </c>
      <c r="O4">
        <v>22986</v>
      </c>
      <c r="P4">
        <v>1.17318119690652</v>
      </c>
      <c r="Q4">
        <v>0.96493619937856201</v>
      </c>
      <c r="R4">
        <v>0.61797267730530103</v>
      </c>
      <c r="S4">
        <v>0.61797267730530103</v>
      </c>
    </row>
    <row r="5" spans="1:19" x14ac:dyDescent="0.2">
      <c r="A5" t="s">
        <v>46</v>
      </c>
      <c r="B5" t="s">
        <v>389</v>
      </c>
      <c r="C5" t="s">
        <v>390</v>
      </c>
      <c r="D5" t="str">
        <f t="shared" si="0"/>
        <v>"Golgi apparatus",</v>
      </c>
      <c r="E5" t="s">
        <v>394</v>
      </c>
      <c r="F5" t="s">
        <v>597</v>
      </c>
      <c r="G5" t="str">
        <f t="shared" si="1"/>
        <v>"#0da285",</v>
      </c>
      <c r="H5">
        <v>31</v>
      </c>
      <c r="I5">
        <v>4.3847241867043802</v>
      </c>
      <c r="J5">
        <v>1.19688492811634E-2</v>
      </c>
      <c r="K5" s="8">
        <f t="shared" si="2"/>
        <v>1.9219476018796307</v>
      </c>
      <c r="L5" t="s">
        <v>243</v>
      </c>
      <c r="M5">
        <v>644</v>
      </c>
      <c r="N5">
        <v>690</v>
      </c>
      <c r="O5">
        <v>22986</v>
      </c>
      <c r="P5">
        <v>1.6035781798541699</v>
      </c>
      <c r="Q5">
        <v>0.98050162638040295</v>
      </c>
      <c r="R5">
        <v>0.61797267730530103</v>
      </c>
      <c r="S5">
        <v>0.61797267730530103</v>
      </c>
    </row>
    <row r="6" spans="1:19" x14ac:dyDescent="0.2">
      <c r="A6" t="s">
        <v>46</v>
      </c>
      <c r="B6" t="s">
        <v>351</v>
      </c>
      <c r="C6" t="s">
        <v>352</v>
      </c>
      <c r="D6" t="str">
        <f t="shared" si="0"/>
        <v>"cytoskeleton",</v>
      </c>
      <c r="E6" t="s">
        <v>394</v>
      </c>
      <c r="F6" t="s">
        <v>597</v>
      </c>
      <c r="G6" t="str">
        <f t="shared" si="1"/>
        <v>"#0da285",</v>
      </c>
      <c r="H6">
        <v>32</v>
      </c>
      <c r="I6">
        <v>4.5261669024045199</v>
      </c>
      <c r="J6">
        <v>1.2077632057613299E-2</v>
      </c>
      <c r="K6" s="8">
        <f t="shared" si="2"/>
        <v>1.9180182052114112</v>
      </c>
      <c r="L6" t="s">
        <v>244</v>
      </c>
      <c r="M6">
        <v>644</v>
      </c>
      <c r="N6">
        <v>720</v>
      </c>
      <c r="O6">
        <v>22986</v>
      </c>
      <c r="P6">
        <v>1.5863354037266999</v>
      </c>
      <c r="Q6">
        <v>0.98119117461798699</v>
      </c>
      <c r="R6">
        <v>0.61797267730530103</v>
      </c>
      <c r="S6">
        <v>0.61797267730530103</v>
      </c>
    </row>
    <row r="7" spans="1:19" x14ac:dyDescent="0.2">
      <c r="A7" t="s">
        <v>46</v>
      </c>
      <c r="B7" t="s">
        <v>369</v>
      </c>
      <c r="C7" t="s">
        <v>370</v>
      </c>
      <c r="D7" t="str">
        <f t="shared" si="0"/>
        <v>"postsynaptic density membrane",</v>
      </c>
      <c r="E7" t="s">
        <v>394</v>
      </c>
      <c r="F7" t="s">
        <v>597</v>
      </c>
      <c r="G7" t="str">
        <f t="shared" si="1"/>
        <v>"#0da285",</v>
      </c>
      <c r="H7">
        <v>7</v>
      </c>
      <c r="I7">
        <v>0.99009900990098998</v>
      </c>
      <c r="J7">
        <v>1.26521252276915E-2</v>
      </c>
      <c r="K7" s="8">
        <f t="shared" si="2"/>
        <v>1.8978365181927477</v>
      </c>
      <c r="L7" t="s">
        <v>245</v>
      </c>
      <c r="M7">
        <v>644</v>
      </c>
      <c r="N7">
        <v>69</v>
      </c>
      <c r="O7">
        <v>22986</v>
      </c>
      <c r="P7">
        <v>3.6209829867674799</v>
      </c>
      <c r="Q7">
        <v>0.98444915489941598</v>
      </c>
      <c r="R7">
        <v>0.61797267730530103</v>
      </c>
      <c r="S7">
        <v>0.61797267730530103</v>
      </c>
    </row>
    <row r="8" spans="1:19" x14ac:dyDescent="0.2">
      <c r="A8" t="s">
        <v>46</v>
      </c>
      <c r="B8" t="s">
        <v>357</v>
      </c>
      <c r="C8" t="s">
        <v>358</v>
      </c>
      <c r="D8" t="str">
        <f t="shared" si="0"/>
        <v>"postsynaptic membrane",</v>
      </c>
      <c r="E8" t="s">
        <v>394</v>
      </c>
      <c r="F8" t="s">
        <v>597</v>
      </c>
      <c r="G8" t="str">
        <f t="shared" si="1"/>
        <v>"#0da285",</v>
      </c>
      <c r="H8">
        <v>12</v>
      </c>
      <c r="I8">
        <v>1.69731258840169</v>
      </c>
      <c r="J8">
        <v>1.3714626055989399E-2</v>
      </c>
      <c r="K8" s="8">
        <f t="shared" si="2"/>
        <v>1.8628160294035534</v>
      </c>
      <c r="L8" t="s">
        <v>246</v>
      </c>
      <c r="M8">
        <v>644</v>
      </c>
      <c r="N8">
        <v>182</v>
      </c>
      <c r="O8">
        <v>22986</v>
      </c>
      <c r="P8">
        <v>2.3533547198143401</v>
      </c>
      <c r="Q8">
        <v>0.98906426808580605</v>
      </c>
      <c r="R8">
        <v>0.61797267730530103</v>
      </c>
      <c r="S8">
        <v>0.61797267730530103</v>
      </c>
    </row>
    <row r="9" spans="1:19" x14ac:dyDescent="0.2">
      <c r="A9" t="s">
        <v>46</v>
      </c>
      <c r="B9" t="s">
        <v>675</v>
      </c>
      <c r="C9" t="s">
        <v>676</v>
      </c>
      <c r="D9" t="str">
        <f t="shared" si="0"/>
        <v>"exocyst",</v>
      </c>
      <c r="E9" t="s">
        <v>394</v>
      </c>
      <c r="F9" t="s">
        <v>597</v>
      </c>
      <c r="G9" t="str">
        <f t="shared" si="1"/>
        <v>"#0da285",</v>
      </c>
      <c r="H9">
        <v>4</v>
      </c>
      <c r="I9">
        <v>0.56577086280056499</v>
      </c>
      <c r="J9">
        <v>1.51185976099156E-2</v>
      </c>
      <c r="K9" s="8">
        <f t="shared" si="2"/>
        <v>1.8204884918058299</v>
      </c>
      <c r="L9" t="s">
        <v>165</v>
      </c>
      <c r="M9">
        <v>644</v>
      </c>
      <c r="N9">
        <v>19</v>
      </c>
      <c r="O9">
        <v>22986</v>
      </c>
      <c r="P9">
        <v>7.5142203334423003</v>
      </c>
      <c r="Q9">
        <v>0.99313647370923397</v>
      </c>
      <c r="R9">
        <v>0.61797267730530103</v>
      </c>
      <c r="S9">
        <v>0.61797267730530103</v>
      </c>
    </row>
    <row r="10" spans="1:19" x14ac:dyDescent="0.2">
      <c r="A10" t="s">
        <v>46</v>
      </c>
      <c r="B10" t="s">
        <v>355</v>
      </c>
      <c r="C10" t="s">
        <v>356</v>
      </c>
      <c r="D10" t="str">
        <f t="shared" si="0"/>
        <v>"centrosome",</v>
      </c>
      <c r="E10" t="s">
        <v>394</v>
      </c>
      <c r="F10" t="s">
        <v>597</v>
      </c>
      <c r="G10" t="str">
        <f t="shared" si="1"/>
        <v>"#0da285",</v>
      </c>
      <c r="H10">
        <v>15</v>
      </c>
      <c r="I10">
        <v>2.1216407355021198</v>
      </c>
      <c r="J10">
        <v>1.7760458718408902E-2</v>
      </c>
      <c r="K10" s="8">
        <f t="shared" si="2"/>
        <v>1.7505458214233529</v>
      </c>
      <c r="L10" t="s">
        <v>247</v>
      </c>
      <c r="M10">
        <v>644</v>
      </c>
      <c r="N10">
        <v>265</v>
      </c>
      <c r="O10">
        <v>22986</v>
      </c>
      <c r="P10">
        <v>2.02033282550099</v>
      </c>
      <c r="Q10">
        <v>0.99714836378583005</v>
      </c>
      <c r="R10">
        <v>0.63104813435345597</v>
      </c>
      <c r="S10">
        <v>0.63104813435345597</v>
      </c>
    </row>
    <row r="11" spans="1:19" x14ac:dyDescent="0.2">
      <c r="A11" t="s">
        <v>46</v>
      </c>
      <c r="B11" t="s">
        <v>385</v>
      </c>
      <c r="C11" t="s">
        <v>386</v>
      </c>
      <c r="D11" t="str">
        <f t="shared" si="0"/>
        <v>"voltage-gated calcium channel complex",</v>
      </c>
      <c r="E11" t="s">
        <v>394</v>
      </c>
      <c r="F11" t="s">
        <v>597</v>
      </c>
      <c r="G11" t="str">
        <f t="shared" si="1"/>
        <v>"#0da285",</v>
      </c>
      <c r="H11">
        <v>5</v>
      </c>
      <c r="I11">
        <v>0.70721357850070699</v>
      </c>
      <c r="J11">
        <v>1.92981080842035E-2</v>
      </c>
      <c r="K11" s="8">
        <f t="shared" si="2"/>
        <v>1.7144852655448188</v>
      </c>
      <c r="L11" t="s">
        <v>166</v>
      </c>
      <c r="M11">
        <v>644</v>
      </c>
      <c r="N11">
        <v>37</v>
      </c>
      <c r="O11">
        <v>22986</v>
      </c>
      <c r="P11">
        <v>4.8233171059258</v>
      </c>
      <c r="Q11">
        <v>0.99829154600178305</v>
      </c>
      <c r="R11">
        <v>0.63104813435345597</v>
      </c>
      <c r="S11">
        <v>0.63104813435345597</v>
      </c>
    </row>
    <row r="12" spans="1:19" x14ac:dyDescent="0.2">
      <c r="A12" t="s">
        <v>46</v>
      </c>
      <c r="B12" t="s">
        <v>387</v>
      </c>
      <c r="C12" t="s">
        <v>388</v>
      </c>
      <c r="D12" t="str">
        <f t="shared" si="0"/>
        <v>"ciliary basal body",</v>
      </c>
      <c r="E12" t="s">
        <v>394</v>
      </c>
      <c r="F12" t="s">
        <v>597</v>
      </c>
      <c r="G12" t="str">
        <f t="shared" si="1"/>
        <v>"#0da285",</v>
      </c>
      <c r="H12">
        <v>7</v>
      </c>
      <c r="I12">
        <v>0.99009900990098998</v>
      </c>
      <c r="J12">
        <v>2.2011842223408899E-2</v>
      </c>
      <c r="K12" s="8">
        <f t="shared" si="2"/>
        <v>1.657343608787851</v>
      </c>
      <c r="L12" t="s">
        <v>248</v>
      </c>
      <c r="M12">
        <v>644</v>
      </c>
      <c r="N12">
        <v>78</v>
      </c>
      <c r="O12">
        <v>22986</v>
      </c>
      <c r="P12">
        <v>3.2031772575250801</v>
      </c>
      <c r="Q12">
        <v>0.99930962364439102</v>
      </c>
      <c r="R12">
        <v>0.65435203700497402</v>
      </c>
      <c r="S12">
        <v>0.65435203700497402</v>
      </c>
    </row>
    <row r="13" spans="1:19" x14ac:dyDescent="0.2">
      <c r="A13" t="s">
        <v>46</v>
      </c>
      <c r="B13" t="s">
        <v>383</v>
      </c>
      <c r="C13" t="s">
        <v>384</v>
      </c>
      <c r="D13" t="str">
        <f t="shared" si="0"/>
        <v>"collagen-containing extracellular matrix",</v>
      </c>
      <c r="E13" t="s">
        <v>394</v>
      </c>
      <c r="F13" t="s">
        <v>597</v>
      </c>
      <c r="G13" t="str">
        <f t="shared" si="1"/>
        <v>"#0da285",</v>
      </c>
      <c r="H13">
        <v>13</v>
      </c>
      <c r="I13">
        <v>1.8387553041018301</v>
      </c>
      <c r="J13">
        <v>2.52388831271541E-2</v>
      </c>
      <c r="K13" s="8">
        <f t="shared" si="2"/>
        <v>1.5979298674328983</v>
      </c>
      <c r="L13" t="s">
        <v>249</v>
      </c>
      <c r="M13">
        <v>644</v>
      </c>
      <c r="N13">
        <v>225</v>
      </c>
      <c r="O13">
        <v>22986</v>
      </c>
      <c r="P13">
        <v>2.06223602484472</v>
      </c>
      <c r="Q13">
        <v>0.99976573339485697</v>
      </c>
      <c r="R13">
        <v>0.65838039873884902</v>
      </c>
      <c r="S13">
        <v>0.65838039873884902</v>
      </c>
    </row>
    <row r="14" spans="1:19" x14ac:dyDescent="0.2">
      <c r="A14" t="s">
        <v>46</v>
      </c>
      <c r="B14" t="s">
        <v>619</v>
      </c>
      <c r="C14" t="s">
        <v>620</v>
      </c>
      <c r="D14" t="str">
        <f t="shared" si="0"/>
        <v>"monoatomic ion channel complex",</v>
      </c>
      <c r="E14" t="s">
        <v>394</v>
      </c>
      <c r="F14" t="s">
        <v>597</v>
      </c>
      <c r="G14" t="str">
        <f t="shared" si="1"/>
        <v>"#0da285",</v>
      </c>
      <c r="H14">
        <v>10</v>
      </c>
      <c r="I14">
        <v>1.41442715700141</v>
      </c>
      <c r="J14">
        <v>2.6421511776858499E-2</v>
      </c>
      <c r="K14" s="8">
        <f t="shared" si="2"/>
        <v>1.5780423367001497</v>
      </c>
      <c r="L14" t="s">
        <v>250</v>
      </c>
      <c r="M14">
        <v>644</v>
      </c>
      <c r="N14">
        <v>151</v>
      </c>
      <c r="O14">
        <v>22986</v>
      </c>
      <c r="P14">
        <v>2.36374480687754</v>
      </c>
      <c r="Q14">
        <v>0.99984249041955098</v>
      </c>
      <c r="R14">
        <v>0.65838039873884902</v>
      </c>
      <c r="S14">
        <v>0.65838039873884902</v>
      </c>
    </row>
    <row r="15" spans="1:19" x14ac:dyDescent="0.2">
      <c r="A15" t="s">
        <v>46</v>
      </c>
      <c r="B15" t="s">
        <v>729</v>
      </c>
      <c r="C15" t="s">
        <v>730</v>
      </c>
      <c r="D15" t="str">
        <f t="shared" si="0"/>
        <v>"nucleus",</v>
      </c>
      <c r="E15" t="s">
        <v>394</v>
      </c>
      <c r="F15" t="s">
        <v>597</v>
      </c>
      <c r="G15" t="str">
        <f t="shared" si="1"/>
        <v>"#0da285",</v>
      </c>
      <c r="H15">
        <v>179</v>
      </c>
      <c r="I15">
        <v>25.318246110325301</v>
      </c>
      <c r="J15">
        <v>3.0150166331299001E-2</v>
      </c>
      <c r="K15" s="8">
        <f t="shared" si="2"/>
        <v>1.5207102876178245</v>
      </c>
      <c r="L15" t="s">
        <v>251</v>
      </c>
      <c r="M15">
        <v>644</v>
      </c>
      <c r="N15">
        <v>5618</v>
      </c>
      <c r="O15">
        <v>22986</v>
      </c>
      <c r="P15">
        <v>1.1372313703291701</v>
      </c>
      <c r="Q15">
        <v>0.99995508720553805</v>
      </c>
      <c r="R15">
        <v>0.65838039873884902</v>
      </c>
      <c r="S15">
        <v>0.65838039873884902</v>
      </c>
    </row>
    <row r="16" spans="1:19" x14ac:dyDescent="0.2">
      <c r="A16" t="s">
        <v>46</v>
      </c>
      <c r="B16" t="s">
        <v>613</v>
      </c>
      <c r="C16" t="s">
        <v>614</v>
      </c>
      <c r="D16" t="str">
        <f t="shared" si="0"/>
        <v>"endoplasmic reticulum",</v>
      </c>
      <c r="E16" t="s">
        <v>394</v>
      </c>
      <c r="F16" t="s">
        <v>597</v>
      </c>
      <c r="G16" t="str">
        <f t="shared" si="1"/>
        <v>"#0da285",</v>
      </c>
      <c r="H16">
        <v>35</v>
      </c>
      <c r="I16">
        <v>4.9504950495049496</v>
      </c>
      <c r="J16">
        <v>3.1090137830473701E-2</v>
      </c>
      <c r="K16" s="8">
        <f t="shared" si="2"/>
        <v>1.50737735261485</v>
      </c>
      <c r="L16" t="s">
        <v>252</v>
      </c>
      <c r="M16">
        <v>644</v>
      </c>
      <c r="N16">
        <v>871</v>
      </c>
      <c r="O16">
        <v>22986</v>
      </c>
      <c r="P16">
        <v>1.4342584735186901</v>
      </c>
      <c r="Q16">
        <v>0.99996729123859895</v>
      </c>
      <c r="R16">
        <v>0.65838039873884902</v>
      </c>
      <c r="S16">
        <v>0.65838039873884902</v>
      </c>
    </row>
    <row r="17" spans="1:19" x14ac:dyDescent="0.2">
      <c r="A17" t="s">
        <v>46</v>
      </c>
      <c r="B17" t="s">
        <v>611</v>
      </c>
      <c r="C17" t="s">
        <v>612</v>
      </c>
      <c r="D17" t="str">
        <f t="shared" si="0"/>
        <v>"lysosome",</v>
      </c>
      <c r="E17" t="s">
        <v>394</v>
      </c>
      <c r="F17" t="s">
        <v>597</v>
      </c>
      <c r="G17" t="str">
        <f t="shared" si="1"/>
        <v>"#0da285",</v>
      </c>
      <c r="H17">
        <v>13</v>
      </c>
      <c r="I17">
        <v>1.8387553041018301</v>
      </c>
      <c r="J17">
        <v>3.3703613165524997E-2</v>
      </c>
      <c r="K17" s="8">
        <f t="shared" si="2"/>
        <v>1.4723235384836895</v>
      </c>
      <c r="L17" t="s">
        <v>253</v>
      </c>
      <c r="M17">
        <v>644</v>
      </c>
      <c r="N17">
        <v>235</v>
      </c>
      <c r="O17">
        <v>22986</v>
      </c>
      <c r="P17">
        <v>1.97448130038324</v>
      </c>
      <c r="Q17">
        <v>0.99998647658760598</v>
      </c>
      <c r="R17">
        <v>0.65838039873884902</v>
      </c>
      <c r="S17">
        <v>0.65838039873884902</v>
      </c>
    </row>
    <row r="18" spans="1:19" x14ac:dyDescent="0.2">
      <c r="A18" t="s">
        <v>46</v>
      </c>
      <c r="B18" t="s">
        <v>731</v>
      </c>
      <c r="C18" t="s">
        <v>732</v>
      </c>
      <c r="D18" t="str">
        <f t="shared" si="0"/>
        <v>"mitochondrial nucleoid",</v>
      </c>
      <c r="E18" t="s">
        <v>394</v>
      </c>
      <c r="F18" t="s">
        <v>597</v>
      </c>
      <c r="G18" t="str">
        <f t="shared" si="1"/>
        <v>"#0da285",</v>
      </c>
      <c r="H18">
        <v>3</v>
      </c>
      <c r="I18">
        <v>0.42432814710042399</v>
      </c>
      <c r="J18">
        <v>3.63531928990391E-2</v>
      </c>
      <c r="K18" s="8">
        <f t="shared" si="2"/>
        <v>1.4394574390680217</v>
      </c>
      <c r="L18" t="s">
        <v>254</v>
      </c>
      <c r="M18">
        <v>644</v>
      </c>
      <c r="N18">
        <v>11</v>
      </c>
      <c r="O18">
        <v>22986</v>
      </c>
      <c r="P18">
        <v>9.7343308865048002</v>
      </c>
      <c r="Q18">
        <v>0.99999449003329399</v>
      </c>
      <c r="R18">
        <v>0.65838039873884902</v>
      </c>
      <c r="S18">
        <v>0.65838039873884902</v>
      </c>
    </row>
    <row r="19" spans="1:19" x14ac:dyDescent="0.2">
      <c r="A19" t="s">
        <v>46</v>
      </c>
      <c r="B19" t="s">
        <v>733</v>
      </c>
      <c r="C19" t="s">
        <v>734</v>
      </c>
      <c r="D19" t="str">
        <f t="shared" si="0"/>
        <v>"NMDA selective glutamate receptor complex",</v>
      </c>
      <c r="E19" t="s">
        <v>394</v>
      </c>
      <c r="F19" t="s">
        <v>597</v>
      </c>
      <c r="G19" t="str">
        <f t="shared" si="1"/>
        <v>"#0da285",</v>
      </c>
      <c r="H19">
        <v>3</v>
      </c>
      <c r="I19">
        <v>0.42432814710042399</v>
      </c>
      <c r="J19">
        <v>3.63531928990391E-2</v>
      </c>
      <c r="K19" s="8">
        <f t="shared" si="2"/>
        <v>1.4394574390680217</v>
      </c>
      <c r="L19" t="s">
        <v>219</v>
      </c>
      <c r="M19">
        <v>644</v>
      </c>
      <c r="N19">
        <v>11</v>
      </c>
      <c r="O19">
        <v>22986</v>
      </c>
      <c r="P19">
        <v>9.7343308865048002</v>
      </c>
      <c r="Q19">
        <v>0.99999449003329399</v>
      </c>
      <c r="R19">
        <v>0.65838039873884902</v>
      </c>
      <c r="S19">
        <v>0.65838039873884902</v>
      </c>
    </row>
    <row r="20" spans="1:19" x14ac:dyDescent="0.2">
      <c r="A20" t="s">
        <v>46</v>
      </c>
      <c r="B20" t="s">
        <v>677</v>
      </c>
      <c r="C20" t="s">
        <v>678</v>
      </c>
      <c r="D20" t="str">
        <f t="shared" si="0"/>
        <v>"extracellular region",</v>
      </c>
      <c r="E20" t="s">
        <v>394</v>
      </c>
      <c r="F20" t="s">
        <v>597</v>
      </c>
      <c r="G20" t="str">
        <f t="shared" si="1"/>
        <v>"#0da285",</v>
      </c>
      <c r="H20">
        <v>43</v>
      </c>
      <c r="I20">
        <v>6.0820367751060802</v>
      </c>
      <c r="J20">
        <v>3.8254518581156402E-2</v>
      </c>
      <c r="K20" s="8">
        <f t="shared" si="2"/>
        <v>1.4173172590996512</v>
      </c>
      <c r="L20" t="s">
        <v>255</v>
      </c>
      <c r="M20">
        <v>644</v>
      </c>
      <c r="N20">
        <v>1131</v>
      </c>
      <c r="O20">
        <v>22986</v>
      </c>
      <c r="P20">
        <v>1.3570110549120999</v>
      </c>
      <c r="Q20">
        <v>0.99999711151223603</v>
      </c>
      <c r="R20">
        <v>0.65838039873884902</v>
      </c>
      <c r="S20">
        <v>0.65838039873884902</v>
      </c>
    </row>
    <row r="21" spans="1:19" x14ac:dyDescent="0.2">
      <c r="A21" t="s">
        <v>46</v>
      </c>
      <c r="B21" t="s">
        <v>735</v>
      </c>
      <c r="C21" t="s">
        <v>736</v>
      </c>
      <c r="D21" t="str">
        <f t="shared" si="0"/>
        <v>"NuRD complex",</v>
      </c>
      <c r="E21" t="s">
        <v>394</v>
      </c>
      <c r="F21" t="s">
        <v>597</v>
      </c>
      <c r="G21" t="str">
        <f t="shared" si="1"/>
        <v>"#0da285",</v>
      </c>
      <c r="H21">
        <v>3</v>
      </c>
      <c r="I21">
        <v>0.42432814710042399</v>
      </c>
      <c r="J21">
        <v>4.2830061702555898E-2</v>
      </c>
      <c r="K21" s="8">
        <f t="shared" si="2"/>
        <v>1.3682512999424397</v>
      </c>
      <c r="L21" t="s">
        <v>256</v>
      </c>
      <c r="M21">
        <v>644</v>
      </c>
      <c r="N21">
        <v>12</v>
      </c>
      <c r="O21">
        <v>22986</v>
      </c>
      <c r="P21">
        <v>8.9231366459627299</v>
      </c>
      <c r="Q21">
        <v>0.99999939267737803</v>
      </c>
      <c r="R21">
        <v>0.70027150883678901</v>
      </c>
      <c r="S21">
        <v>0.70027150883678901</v>
      </c>
    </row>
    <row r="22" spans="1:19" x14ac:dyDescent="0.2">
      <c r="A22" s="5" t="s">
        <v>46</v>
      </c>
      <c r="B22" s="5" t="s">
        <v>737</v>
      </c>
      <c r="C22" s="5" t="s">
        <v>738</v>
      </c>
      <c r="D22" s="5" t="str">
        <f t="shared" si="0"/>
        <v>"chromatin",</v>
      </c>
      <c r="E22" s="5" t="s">
        <v>394</v>
      </c>
      <c r="F22" s="5" t="s">
        <v>597</v>
      </c>
      <c r="G22" s="5" t="str">
        <f t="shared" si="1"/>
        <v>"#0da285",</v>
      </c>
      <c r="H22" s="5">
        <v>11</v>
      </c>
      <c r="I22" s="5">
        <v>1.5558698727015501</v>
      </c>
      <c r="J22" s="5">
        <v>5.4284227188170199E-2</v>
      </c>
      <c r="K22" s="9">
        <f t="shared" si="2"/>
        <v>1.2653263405809345</v>
      </c>
      <c r="L22" s="5" t="s">
        <v>257</v>
      </c>
      <c r="M22" s="5">
        <v>644</v>
      </c>
      <c r="N22" s="5">
        <v>199</v>
      </c>
      <c r="O22" s="5">
        <v>22986</v>
      </c>
      <c r="P22" s="5">
        <v>1.9729548362932601</v>
      </c>
      <c r="Q22" s="5">
        <v>0.99999998814976998</v>
      </c>
      <c r="R22" s="5">
        <v>0.84528296621579402</v>
      </c>
      <c r="S22" s="5">
        <v>0.84528296621579402</v>
      </c>
    </row>
    <row r="23" spans="1:19" x14ac:dyDescent="0.2">
      <c r="A23" s="5" t="s">
        <v>46</v>
      </c>
      <c r="B23" s="5" t="s">
        <v>739</v>
      </c>
      <c r="C23" s="5" t="s">
        <v>740</v>
      </c>
      <c r="D23" s="5" t="str">
        <f t="shared" si="0"/>
        <v>"nucleolus",</v>
      </c>
      <c r="E23" s="5" t="s">
        <v>394</v>
      </c>
      <c r="F23" s="5" t="s">
        <v>597</v>
      </c>
      <c r="G23" s="5" t="str">
        <f t="shared" si="1"/>
        <v>"#0da285",</v>
      </c>
      <c r="H23" s="5">
        <v>13</v>
      </c>
      <c r="I23" s="5">
        <v>1.8387553041018301</v>
      </c>
      <c r="J23" s="5">
        <v>6.0654856492567702E-2</v>
      </c>
      <c r="K23" s="9">
        <f t="shared" si="2"/>
        <v>1.2171344204613153</v>
      </c>
      <c r="L23" s="5" t="s">
        <v>258</v>
      </c>
      <c r="M23" s="5">
        <v>644</v>
      </c>
      <c r="N23" s="5">
        <v>258</v>
      </c>
      <c r="O23" s="5">
        <v>22986</v>
      </c>
      <c r="P23" s="5">
        <v>1.7984616495738801</v>
      </c>
      <c r="Q23" s="5">
        <v>0.99999999870031298</v>
      </c>
      <c r="R23" s="5">
        <v>0.90155173059407501</v>
      </c>
      <c r="S23" s="5">
        <v>0.90155173059407501</v>
      </c>
    </row>
    <row r="24" spans="1:19" x14ac:dyDescent="0.2">
      <c r="A24" s="5" t="s">
        <v>46</v>
      </c>
      <c r="B24" s="5" t="s">
        <v>679</v>
      </c>
      <c r="C24" s="5" t="s">
        <v>680</v>
      </c>
      <c r="D24" s="5" t="str">
        <f t="shared" si="0"/>
        <v>"basement membrane",</v>
      </c>
      <c r="E24" s="5" t="s">
        <v>394</v>
      </c>
      <c r="F24" s="5" t="s">
        <v>597</v>
      </c>
      <c r="G24" s="5" t="str">
        <f t="shared" si="1"/>
        <v>"#0da285",</v>
      </c>
      <c r="H24" s="5">
        <v>5</v>
      </c>
      <c r="I24" s="5">
        <v>0.70721357850070699</v>
      </c>
      <c r="J24" s="5">
        <v>7.8928916663922294E-2</v>
      </c>
      <c r="K24" s="9">
        <f t="shared" si="2"/>
        <v>1.102763858047408</v>
      </c>
      <c r="L24" s="5" t="s">
        <v>171</v>
      </c>
      <c r="M24" s="5">
        <v>644</v>
      </c>
      <c r="N24" s="5">
        <v>58</v>
      </c>
      <c r="O24" s="5">
        <v>22986</v>
      </c>
      <c r="P24" s="5">
        <v>3.0769436710216298</v>
      </c>
      <c r="Q24" s="5">
        <v>0.99999999999789202</v>
      </c>
      <c r="R24" s="5">
        <v>1</v>
      </c>
      <c r="S24" s="5">
        <v>1</v>
      </c>
    </row>
    <row r="25" spans="1:19" x14ac:dyDescent="0.2">
      <c r="A25" s="5" t="s">
        <v>46</v>
      </c>
      <c r="B25" s="5" t="s">
        <v>615</v>
      </c>
      <c r="C25" s="5" t="s">
        <v>616</v>
      </c>
      <c r="D25" s="5" t="str">
        <f t="shared" si="0"/>
        <v>"transcription regulator complex",</v>
      </c>
      <c r="E25" s="5" t="s">
        <v>394</v>
      </c>
      <c r="F25" s="5" t="s">
        <v>597</v>
      </c>
      <c r="G25" s="5" t="str">
        <f t="shared" si="1"/>
        <v>"#0da285",</v>
      </c>
      <c r="H25" s="5">
        <v>11</v>
      </c>
      <c r="I25" s="5">
        <v>1.5558698727015501</v>
      </c>
      <c r="J25" s="5">
        <v>7.9277012902722405E-2</v>
      </c>
      <c r="K25" s="9">
        <f t="shared" si="2"/>
        <v>1.1008527220987714</v>
      </c>
      <c r="L25" s="5" t="s">
        <v>259</v>
      </c>
      <c r="M25" s="5">
        <v>644</v>
      </c>
      <c r="N25" s="5">
        <v>214</v>
      </c>
      <c r="O25" s="5">
        <v>22986</v>
      </c>
      <c r="P25" s="5">
        <v>1.83466360945028</v>
      </c>
      <c r="Q25" s="5">
        <v>0.99999999999813705</v>
      </c>
      <c r="R25" s="5">
        <v>1</v>
      </c>
      <c r="S25" s="5">
        <v>1</v>
      </c>
    </row>
    <row r="26" spans="1:19" x14ac:dyDescent="0.2">
      <c r="A26" s="5" t="s">
        <v>46</v>
      </c>
      <c r="B26" s="5" t="s">
        <v>371</v>
      </c>
      <c r="C26" s="5" t="s">
        <v>372</v>
      </c>
      <c r="D26" s="5" t="str">
        <f t="shared" si="0"/>
        <v>"cell surface",</v>
      </c>
      <c r="E26" s="5" t="s">
        <v>394</v>
      </c>
      <c r="F26" s="5" t="s">
        <v>597</v>
      </c>
      <c r="G26" s="5" t="str">
        <f t="shared" si="1"/>
        <v>"#0da285",</v>
      </c>
      <c r="H26" s="5">
        <v>11</v>
      </c>
      <c r="I26" s="5">
        <v>1.5558698727015501</v>
      </c>
      <c r="J26" s="5">
        <v>8.4644773080981298E-2</v>
      </c>
      <c r="K26" s="9">
        <f t="shared" si="2"/>
        <v>1.072399854946352</v>
      </c>
      <c r="L26" s="5" t="s">
        <v>260</v>
      </c>
      <c r="M26" s="5">
        <v>644</v>
      </c>
      <c r="N26" s="5">
        <v>216</v>
      </c>
      <c r="O26" s="5">
        <v>22986</v>
      </c>
      <c r="P26" s="5">
        <v>1.8176759834368501</v>
      </c>
      <c r="Q26" s="5">
        <v>0.999999999999724</v>
      </c>
      <c r="R26" s="5">
        <v>1</v>
      </c>
      <c r="S26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E151-E555-964A-AB09-7405FC21E04D}">
  <dimension ref="A1:S46"/>
  <sheetViews>
    <sheetView workbookViewId="0"/>
  </sheetViews>
  <sheetFormatPr baseColWidth="10" defaultRowHeight="16" x14ac:dyDescent="0.2"/>
  <cols>
    <col min="1" max="1" width="19.33203125" bestFit="1" customWidth="1"/>
    <col min="2" max="2" width="11.33203125" bestFit="1" customWidth="1"/>
    <col min="3" max="3" width="105.1640625" customWidth="1"/>
    <col min="4" max="4" width="95.83203125" bestFit="1" customWidth="1"/>
    <col min="5" max="5" width="17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67</v>
      </c>
      <c r="B2" s="2" t="s">
        <v>312</v>
      </c>
      <c r="C2" s="2" t="s">
        <v>313</v>
      </c>
      <c r="D2" s="2" t="str">
        <f>CHAR(34)&amp;C2&amp;CHAR(34)&amp;","</f>
        <v>"hydrolase activity",</v>
      </c>
      <c r="E2" s="2" t="s">
        <v>393</v>
      </c>
      <c r="F2" s="2" t="s">
        <v>598</v>
      </c>
      <c r="G2" s="2" t="str">
        <f>CHAR(34)&amp;F2&amp;CHAR(34)&amp;","</f>
        <v>"#2c72ae",</v>
      </c>
      <c r="H2" s="2">
        <v>65</v>
      </c>
      <c r="I2" s="2">
        <v>9.1937765205091893</v>
      </c>
      <c r="J2" s="4">
        <v>6.6250640910823404E-4</v>
      </c>
      <c r="K2" s="7">
        <f>-(LOG(J2))</f>
        <v>3.1788099159920957</v>
      </c>
      <c r="L2" s="2" t="s">
        <v>261</v>
      </c>
      <c r="M2" s="2">
        <v>611</v>
      </c>
      <c r="N2" s="2">
        <v>1512</v>
      </c>
      <c r="O2" s="2">
        <v>21736</v>
      </c>
      <c r="P2" s="2">
        <v>1.5293256782618401</v>
      </c>
      <c r="Q2" s="2">
        <v>0.329871961038321</v>
      </c>
      <c r="R2" s="2">
        <v>0.32885565508461601</v>
      </c>
      <c r="S2" s="2">
        <v>0.32831119207950898</v>
      </c>
    </row>
    <row r="3" spans="1:19" x14ac:dyDescent="0.2">
      <c r="A3" s="2" t="s">
        <v>67</v>
      </c>
      <c r="B3" s="2" t="s">
        <v>324</v>
      </c>
      <c r="C3" s="2" t="s">
        <v>325</v>
      </c>
      <c r="D3" s="2" t="str">
        <f t="shared" ref="D3:D46" si="0">CHAR(34)&amp;C3&amp;CHAR(34)&amp;","</f>
        <v>"calcium ion binding",</v>
      </c>
      <c r="E3" s="2" t="s">
        <v>393</v>
      </c>
      <c r="F3" s="2" t="s">
        <v>598</v>
      </c>
      <c r="G3" s="2" t="str">
        <f t="shared" ref="G3:G46" si="1">CHAR(34)&amp;F3&amp;CHAR(34)&amp;","</f>
        <v>"#2c72ae",</v>
      </c>
      <c r="H3" s="2">
        <v>39</v>
      </c>
      <c r="I3" s="2">
        <v>5.51626591230551</v>
      </c>
      <c r="J3" s="2">
        <v>1.0889260102139599E-3</v>
      </c>
      <c r="K3" s="7">
        <f t="shared" ref="K3:K46" si="2">-(LOG(J3))</f>
        <v>2.9630016284604417</v>
      </c>
      <c r="L3" s="2" t="s">
        <v>262</v>
      </c>
      <c r="M3" s="2">
        <v>611</v>
      </c>
      <c r="N3" s="2">
        <v>796</v>
      </c>
      <c r="O3" s="2">
        <v>21736</v>
      </c>
      <c r="P3" s="2">
        <v>1.74297016999893</v>
      </c>
      <c r="Q3" s="2">
        <v>0.48215000822006199</v>
      </c>
      <c r="R3" s="2">
        <v>0.32885565508461601</v>
      </c>
      <c r="S3" s="2">
        <v>0.32831119207950898</v>
      </c>
    </row>
    <row r="4" spans="1:19" x14ac:dyDescent="0.2">
      <c r="A4" s="2" t="s">
        <v>67</v>
      </c>
      <c r="B4" s="2" t="s">
        <v>631</v>
      </c>
      <c r="C4" s="2" t="s">
        <v>632</v>
      </c>
      <c r="D4" s="2" t="str">
        <f t="shared" si="0"/>
        <v>"guanyl-nucleotide exchange factor activity",</v>
      </c>
      <c r="E4" s="2" t="s">
        <v>393</v>
      </c>
      <c r="F4" s="2" t="s">
        <v>598</v>
      </c>
      <c r="G4" s="2" t="str">
        <f t="shared" si="1"/>
        <v>"#2c72ae",</v>
      </c>
      <c r="H4" s="2">
        <v>17</v>
      </c>
      <c r="I4" s="2">
        <v>2.4045261669024001</v>
      </c>
      <c r="J4" s="2">
        <v>2.39550727996065E-3</v>
      </c>
      <c r="K4" s="7">
        <f t="shared" si="2"/>
        <v>2.620602504980357</v>
      </c>
      <c r="L4" s="2" t="s">
        <v>263</v>
      </c>
      <c r="M4" s="2">
        <v>611</v>
      </c>
      <c r="N4" s="2">
        <v>255</v>
      </c>
      <c r="O4" s="2">
        <v>21736</v>
      </c>
      <c r="P4" s="2">
        <v>2.3716312056737499</v>
      </c>
      <c r="Q4" s="2">
        <v>0.76510629425861598</v>
      </c>
      <c r="R4" s="2">
        <v>0.37836326734715497</v>
      </c>
      <c r="S4" s="2">
        <v>0.37773683809658098</v>
      </c>
    </row>
    <row r="5" spans="1:19" x14ac:dyDescent="0.2">
      <c r="A5" s="2" t="s">
        <v>67</v>
      </c>
      <c r="B5" s="2" t="s">
        <v>320</v>
      </c>
      <c r="C5" s="2" t="s">
        <v>321</v>
      </c>
      <c r="D5" s="2" t="str">
        <f t="shared" si="0"/>
        <v>"voltage-gated calcium channel activity",</v>
      </c>
      <c r="E5" s="2" t="s">
        <v>393</v>
      </c>
      <c r="F5" s="2" t="s">
        <v>598</v>
      </c>
      <c r="G5" s="2" t="str">
        <f t="shared" si="1"/>
        <v>"#2c72ae",</v>
      </c>
      <c r="H5" s="2">
        <v>7</v>
      </c>
      <c r="I5" s="2">
        <v>0.99009900990098998</v>
      </c>
      <c r="J5" s="2">
        <v>2.9378488470052401E-3</v>
      </c>
      <c r="K5" s="7">
        <f t="shared" si="2"/>
        <v>2.5319705525213378</v>
      </c>
      <c r="L5" s="2" t="s">
        <v>264</v>
      </c>
      <c r="M5" s="2">
        <v>611</v>
      </c>
      <c r="N5" s="2">
        <v>51</v>
      </c>
      <c r="O5" s="2">
        <v>21736</v>
      </c>
      <c r="P5" s="2">
        <v>4.8827701293283203</v>
      </c>
      <c r="Q5" s="2">
        <v>0.83086741899449401</v>
      </c>
      <c r="R5" s="2">
        <v>0.37836326734715497</v>
      </c>
      <c r="S5" s="2">
        <v>0.37773683809658098</v>
      </c>
    </row>
    <row r="6" spans="1:19" x14ac:dyDescent="0.2">
      <c r="A6" s="2" t="s">
        <v>67</v>
      </c>
      <c r="B6" s="2" t="s">
        <v>316</v>
      </c>
      <c r="C6" s="2" t="s">
        <v>317</v>
      </c>
      <c r="D6" s="2" t="str">
        <f t="shared" si="0"/>
        <v>"monoatomic ion channel activity",</v>
      </c>
      <c r="E6" s="2" t="s">
        <v>393</v>
      </c>
      <c r="F6" s="2" t="s">
        <v>598</v>
      </c>
      <c r="G6" s="2" t="str">
        <f t="shared" si="1"/>
        <v>"#2c72ae",</v>
      </c>
      <c r="H6" s="2">
        <v>15</v>
      </c>
      <c r="I6" s="2">
        <v>2.1216407355021198</v>
      </c>
      <c r="J6" s="2">
        <v>3.1321462528738002E-3</v>
      </c>
      <c r="K6" s="7">
        <f t="shared" si="2"/>
        <v>2.5041579671335388</v>
      </c>
      <c r="L6" s="2" t="s">
        <v>265</v>
      </c>
      <c r="M6" s="2">
        <v>611</v>
      </c>
      <c r="N6" s="2">
        <v>215</v>
      </c>
      <c r="O6" s="2">
        <v>21736</v>
      </c>
      <c r="P6" s="2">
        <v>2.4819396338446298</v>
      </c>
      <c r="Q6" s="2">
        <v>0.84964938220101904</v>
      </c>
      <c r="R6" s="2">
        <v>0.37836326734715497</v>
      </c>
      <c r="S6" s="2">
        <v>0.37773683809658098</v>
      </c>
    </row>
    <row r="7" spans="1:19" x14ac:dyDescent="0.2">
      <c r="A7" s="2" t="s">
        <v>67</v>
      </c>
      <c r="B7" s="2" t="s">
        <v>322</v>
      </c>
      <c r="C7" s="2" t="s">
        <v>323</v>
      </c>
      <c r="D7" s="2" t="str">
        <f t="shared" si="0"/>
        <v>"calcium channel activity",</v>
      </c>
      <c r="E7" s="2" t="s">
        <v>393</v>
      </c>
      <c r="F7" s="2" t="s">
        <v>598</v>
      </c>
      <c r="G7" s="2" t="str">
        <f t="shared" si="1"/>
        <v>"#2c72ae",</v>
      </c>
      <c r="H7" s="2">
        <v>9</v>
      </c>
      <c r="I7" s="2">
        <v>1.2729844413012701</v>
      </c>
      <c r="J7" s="2">
        <v>4.3344365643259199E-3</v>
      </c>
      <c r="K7" s="7">
        <f t="shared" si="2"/>
        <v>2.3630673486854912</v>
      </c>
      <c r="L7" s="2" t="s">
        <v>266</v>
      </c>
      <c r="M7" s="2">
        <v>611</v>
      </c>
      <c r="N7" s="2">
        <v>92</v>
      </c>
      <c r="O7" s="2">
        <v>21736</v>
      </c>
      <c r="P7" s="2">
        <v>3.4801110083256201</v>
      </c>
      <c r="Q7" s="2">
        <v>0.92746527818628399</v>
      </c>
      <c r="R7" s="2">
        <v>0.43633328080880901</v>
      </c>
      <c r="S7" s="2">
        <v>0.43561087471475501</v>
      </c>
    </row>
    <row r="8" spans="1:19" x14ac:dyDescent="0.2">
      <c r="A8" s="2" t="s">
        <v>67</v>
      </c>
      <c r="B8" s="2" t="s">
        <v>308</v>
      </c>
      <c r="C8" s="2" t="s">
        <v>309</v>
      </c>
      <c r="D8" s="2" t="str">
        <f t="shared" si="0"/>
        <v>"nucleotide binding",</v>
      </c>
      <c r="E8" s="2" t="s">
        <v>393</v>
      </c>
      <c r="F8" s="2" t="s">
        <v>598</v>
      </c>
      <c r="G8" s="2" t="str">
        <f t="shared" si="1"/>
        <v>"#2c72ae",</v>
      </c>
      <c r="H8" s="2">
        <v>74</v>
      </c>
      <c r="I8" s="2">
        <v>10.466760961810399</v>
      </c>
      <c r="J8" s="2">
        <v>5.2071268240028298E-3</v>
      </c>
      <c r="K8" s="7">
        <f t="shared" si="2"/>
        <v>2.2834018445839872</v>
      </c>
      <c r="L8" s="2" t="s">
        <v>267</v>
      </c>
      <c r="M8" s="2">
        <v>611</v>
      </c>
      <c r="N8" s="2">
        <v>1927</v>
      </c>
      <c r="O8" s="2">
        <v>21736</v>
      </c>
      <c r="P8" s="2">
        <v>1.36611864986916</v>
      </c>
      <c r="Q8" s="2">
        <v>0.95728997539674998</v>
      </c>
      <c r="R8" s="2">
        <v>0.44930065738538699</v>
      </c>
      <c r="S8" s="2">
        <v>0.44855678212481498</v>
      </c>
    </row>
    <row r="9" spans="1:19" x14ac:dyDescent="0.2">
      <c r="A9" s="2" t="s">
        <v>67</v>
      </c>
      <c r="B9" s="2" t="s">
        <v>310</v>
      </c>
      <c r="C9" s="2" t="s">
        <v>311</v>
      </c>
      <c r="D9" s="2" t="str">
        <f t="shared" si="0"/>
        <v>"fibroblast growth factor binding",</v>
      </c>
      <c r="E9" s="2" t="s">
        <v>393</v>
      </c>
      <c r="F9" s="2" t="s">
        <v>598</v>
      </c>
      <c r="G9" s="2" t="str">
        <f t="shared" si="1"/>
        <v>"#2c72ae",</v>
      </c>
      <c r="H9" s="2">
        <v>4</v>
      </c>
      <c r="I9" s="2">
        <v>0.56577086280056499</v>
      </c>
      <c r="J9" s="2">
        <v>9.3769969223489093E-3</v>
      </c>
      <c r="K9" s="7">
        <f t="shared" si="2"/>
        <v>2.0279362265329937</v>
      </c>
      <c r="L9" s="2" t="s">
        <v>112</v>
      </c>
      <c r="M9" s="2">
        <v>611</v>
      </c>
      <c r="N9" s="2">
        <v>16</v>
      </c>
      <c r="O9" s="2">
        <v>21736</v>
      </c>
      <c r="P9" s="2">
        <v>8.8936170212765902</v>
      </c>
      <c r="Q9" s="2">
        <v>0.99662185181697904</v>
      </c>
      <c r="R9" s="2">
        <v>0.674230203611485</v>
      </c>
      <c r="S9" s="2">
        <v>0.673113928439943</v>
      </c>
    </row>
    <row r="10" spans="1:19" x14ac:dyDescent="0.2">
      <c r="A10" t="s">
        <v>67</v>
      </c>
      <c r="B10" t="s">
        <v>300</v>
      </c>
      <c r="C10" t="s">
        <v>301</v>
      </c>
      <c r="D10" t="str">
        <f t="shared" si="0"/>
        <v>"ATP binding",</v>
      </c>
      <c r="E10" t="s">
        <v>393</v>
      </c>
      <c r="F10" t="s">
        <v>598</v>
      </c>
      <c r="G10" t="str">
        <f t="shared" si="1"/>
        <v>"#2c72ae",</v>
      </c>
      <c r="H10">
        <v>72</v>
      </c>
      <c r="I10">
        <v>10.1838755304101</v>
      </c>
      <c r="J10">
        <v>1.00464765438797E-2</v>
      </c>
      <c r="K10" s="8">
        <f t="shared" si="2"/>
        <v>1.9979862253931937</v>
      </c>
      <c r="L10" t="s">
        <v>268</v>
      </c>
      <c r="M10">
        <v>611</v>
      </c>
      <c r="N10">
        <v>1921</v>
      </c>
      <c r="O10">
        <v>21736</v>
      </c>
      <c r="P10">
        <v>1.3333481010555199</v>
      </c>
      <c r="Q10">
        <v>0.99775434694611198</v>
      </c>
      <c r="R10">
        <v>0.674230203611485</v>
      </c>
      <c r="S10">
        <v>0.673113928439943</v>
      </c>
    </row>
    <row r="11" spans="1:19" x14ac:dyDescent="0.2">
      <c r="A11" t="s">
        <v>67</v>
      </c>
      <c r="B11" t="s">
        <v>691</v>
      </c>
      <c r="C11" t="s">
        <v>692</v>
      </c>
      <c r="D11" t="str">
        <f t="shared" si="0"/>
        <v>"helicase activity",</v>
      </c>
      <c r="E11" t="s">
        <v>393</v>
      </c>
      <c r="F11" t="s">
        <v>598</v>
      </c>
      <c r="G11" t="str">
        <f t="shared" si="1"/>
        <v>"#2c72ae",</v>
      </c>
      <c r="H11">
        <v>10</v>
      </c>
      <c r="I11">
        <v>1.41442715700141</v>
      </c>
      <c r="J11">
        <v>1.4023311703986E-2</v>
      </c>
      <c r="K11" s="8">
        <f t="shared" si="2"/>
        <v>1.8531494125514969</v>
      </c>
      <c r="L11" t="s">
        <v>269</v>
      </c>
      <c r="M11">
        <v>611</v>
      </c>
      <c r="N11">
        <v>135</v>
      </c>
      <c r="O11">
        <v>21736</v>
      </c>
      <c r="P11">
        <v>2.6351457840819501</v>
      </c>
      <c r="Q11">
        <v>0.99980255108907101</v>
      </c>
      <c r="R11">
        <v>0.81279375646610497</v>
      </c>
      <c r="S11">
        <v>0.81144807143884301</v>
      </c>
    </row>
    <row r="12" spans="1:19" x14ac:dyDescent="0.2">
      <c r="A12" t="s">
        <v>67</v>
      </c>
      <c r="B12" t="s">
        <v>346</v>
      </c>
      <c r="C12" t="s">
        <v>347</v>
      </c>
      <c r="D12" t="str">
        <f t="shared" si="0"/>
        <v>"metal ion binding",</v>
      </c>
      <c r="E12" t="s">
        <v>393</v>
      </c>
      <c r="F12" t="s">
        <v>598</v>
      </c>
      <c r="G12" t="str">
        <f t="shared" si="1"/>
        <v>"#2c72ae",</v>
      </c>
      <c r="H12">
        <v>130</v>
      </c>
      <c r="I12">
        <v>18.3875530410183</v>
      </c>
      <c r="J12">
        <v>1.54150320407547E-2</v>
      </c>
      <c r="K12" s="8">
        <f t="shared" si="2"/>
        <v>1.8120555682382513</v>
      </c>
      <c r="L12" t="s">
        <v>270</v>
      </c>
      <c r="M12">
        <v>611</v>
      </c>
      <c r="N12">
        <v>3850</v>
      </c>
      <c r="O12">
        <v>21736</v>
      </c>
      <c r="P12">
        <v>1.2012158054711199</v>
      </c>
      <c r="Q12">
        <v>0.99991587339348498</v>
      </c>
      <c r="R12">
        <v>0.81279375646610497</v>
      </c>
      <c r="S12">
        <v>0.81144807143884301</v>
      </c>
    </row>
    <row r="13" spans="1:19" x14ac:dyDescent="0.2">
      <c r="A13" t="s">
        <v>67</v>
      </c>
      <c r="B13" t="s">
        <v>304</v>
      </c>
      <c r="C13" t="s">
        <v>305</v>
      </c>
      <c r="D13" t="str">
        <f t="shared" si="0"/>
        <v>"ATP-dependent chromatin remodeler activity",</v>
      </c>
      <c r="E13" t="s">
        <v>393</v>
      </c>
      <c r="F13" t="s">
        <v>598</v>
      </c>
      <c r="G13" t="str">
        <f t="shared" si="1"/>
        <v>"#2c72ae",</v>
      </c>
      <c r="H13">
        <v>5</v>
      </c>
      <c r="I13">
        <v>0.70721357850070699</v>
      </c>
      <c r="J13">
        <v>1.61482203271411E-2</v>
      </c>
      <c r="K13" s="8">
        <f t="shared" si="2"/>
        <v>1.7918753336852549</v>
      </c>
      <c r="L13" t="s">
        <v>271</v>
      </c>
      <c r="M13">
        <v>611</v>
      </c>
      <c r="N13">
        <v>35</v>
      </c>
      <c r="O13">
        <v>21736</v>
      </c>
      <c r="P13">
        <v>5.0820668693009097</v>
      </c>
      <c r="Q13">
        <v>0.999946355644734</v>
      </c>
      <c r="R13">
        <v>0.81279375646610497</v>
      </c>
      <c r="S13">
        <v>0.81144807143884301</v>
      </c>
    </row>
    <row r="14" spans="1:19" x14ac:dyDescent="0.2">
      <c r="A14" t="s">
        <v>67</v>
      </c>
      <c r="B14" t="s">
        <v>344</v>
      </c>
      <c r="C14" t="s">
        <v>345</v>
      </c>
      <c r="D14" t="str">
        <f t="shared" si="0"/>
        <v>"ligand-gated monoatomic ion channel activity",</v>
      </c>
      <c r="E14" t="s">
        <v>393</v>
      </c>
      <c r="F14" t="s">
        <v>598</v>
      </c>
      <c r="G14" t="str">
        <f t="shared" si="1"/>
        <v>"#2c72ae",</v>
      </c>
      <c r="H14">
        <v>5</v>
      </c>
      <c r="I14">
        <v>0.70721357850070699</v>
      </c>
      <c r="J14">
        <v>2.1321424864882699E-2</v>
      </c>
      <c r="K14" s="8">
        <f t="shared" si="2"/>
        <v>1.6711837757111947</v>
      </c>
      <c r="L14" t="s">
        <v>222</v>
      </c>
      <c r="M14">
        <v>611</v>
      </c>
      <c r="N14">
        <v>38</v>
      </c>
      <c r="O14">
        <v>21736</v>
      </c>
      <c r="P14">
        <v>4.6808510638297802</v>
      </c>
      <c r="Q14">
        <v>0.99999777869123396</v>
      </c>
      <c r="R14">
        <v>0.98162685345027001</v>
      </c>
      <c r="S14">
        <v>0.980001643428001</v>
      </c>
    </row>
    <row r="15" spans="1:19" x14ac:dyDescent="0.2">
      <c r="A15" t="s">
        <v>67</v>
      </c>
      <c r="B15" t="s">
        <v>683</v>
      </c>
      <c r="C15" t="s">
        <v>684</v>
      </c>
      <c r="D15" t="str">
        <f t="shared" si="0"/>
        <v>"cadherin binding",</v>
      </c>
      <c r="E15" t="s">
        <v>393</v>
      </c>
      <c r="F15" t="s">
        <v>598</v>
      </c>
      <c r="G15" t="str">
        <f t="shared" si="1"/>
        <v>"#2c72ae",</v>
      </c>
      <c r="H15">
        <v>8</v>
      </c>
      <c r="I15">
        <v>1.13154172560113</v>
      </c>
      <c r="J15">
        <v>2.60040899254287E-2</v>
      </c>
      <c r="K15" s="8">
        <f t="shared" si="2"/>
        <v>1.5849583407847669</v>
      </c>
      <c r="L15" t="s">
        <v>272</v>
      </c>
      <c r="M15">
        <v>611</v>
      </c>
      <c r="N15">
        <v>103</v>
      </c>
      <c r="O15">
        <v>21736</v>
      </c>
      <c r="P15">
        <v>2.76306548233836</v>
      </c>
      <c r="Q15">
        <v>0.99999987739491802</v>
      </c>
      <c r="R15">
        <v>0.98162685345027001</v>
      </c>
      <c r="S15">
        <v>0.980001643428001</v>
      </c>
    </row>
    <row r="16" spans="1:19" x14ac:dyDescent="0.2">
      <c r="A16" t="s">
        <v>67</v>
      </c>
      <c r="B16" t="s">
        <v>741</v>
      </c>
      <c r="C16" t="s">
        <v>742</v>
      </c>
      <c r="D16" t="str">
        <f t="shared" si="0"/>
        <v>"DNA binding",</v>
      </c>
      <c r="E16" t="s">
        <v>393</v>
      </c>
      <c r="F16" t="s">
        <v>598</v>
      </c>
      <c r="G16" t="str">
        <f t="shared" si="1"/>
        <v>"#2c72ae",</v>
      </c>
      <c r="H16">
        <v>62</v>
      </c>
      <c r="I16">
        <v>8.7694483734087694</v>
      </c>
      <c r="J16">
        <v>2.7067861357349201E-2</v>
      </c>
      <c r="K16" s="8">
        <f t="shared" si="2"/>
        <v>1.5675460566562944</v>
      </c>
      <c r="L16" t="s">
        <v>273</v>
      </c>
      <c r="M16">
        <v>611</v>
      </c>
      <c r="N16">
        <v>1696</v>
      </c>
      <c r="O16">
        <v>21736</v>
      </c>
      <c r="P16">
        <v>1.30048173424327</v>
      </c>
      <c r="Q16">
        <v>0.99999993663346698</v>
      </c>
      <c r="R16">
        <v>0.98162685345027001</v>
      </c>
      <c r="S16">
        <v>0.980001643428001</v>
      </c>
    </row>
    <row r="17" spans="1:19" x14ac:dyDescent="0.2">
      <c r="A17" t="s">
        <v>67</v>
      </c>
      <c r="B17" t="s">
        <v>338</v>
      </c>
      <c r="C17" t="s">
        <v>339</v>
      </c>
      <c r="D17" t="str">
        <f t="shared" si="0"/>
        <v>"kinase activity",</v>
      </c>
      <c r="E17" t="s">
        <v>393</v>
      </c>
      <c r="F17" t="s">
        <v>598</v>
      </c>
      <c r="G17" t="str">
        <f t="shared" si="1"/>
        <v>"#2c72ae",</v>
      </c>
      <c r="H17">
        <v>39</v>
      </c>
      <c r="I17">
        <v>5.51626591230551</v>
      </c>
      <c r="J17">
        <v>2.9754901248847301E-2</v>
      </c>
      <c r="K17" s="8">
        <f t="shared" si="2"/>
        <v>1.526441486741881</v>
      </c>
      <c r="L17" t="s">
        <v>274</v>
      </c>
      <c r="M17">
        <v>611</v>
      </c>
      <c r="N17">
        <v>984</v>
      </c>
      <c r="O17">
        <v>21736</v>
      </c>
      <c r="P17">
        <v>1.40996367410482</v>
      </c>
      <c r="Q17">
        <v>0.99999998807659296</v>
      </c>
      <c r="R17">
        <v>0.98162685345027001</v>
      </c>
      <c r="S17">
        <v>0.980001643428001</v>
      </c>
    </row>
    <row r="18" spans="1:19" x14ac:dyDescent="0.2">
      <c r="A18" t="s">
        <v>67</v>
      </c>
      <c r="B18" t="s">
        <v>743</v>
      </c>
      <c r="C18" t="s">
        <v>744</v>
      </c>
      <c r="D18" t="str">
        <f t="shared" si="0"/>
        <v>"dioxygenase activity",</v>
      </c>
      <c r="E18" t="s">
        <v>393</v>
      </c>
      <c r="F18" t="s">
        <v>598</v>
      </c>
      <c r="G18" t="str">
        <f t="shared" si="1"/>
        <v>"#2c72ae",</v>
      </c>
      <c r="H18">
        <v>7</v>
      </c>
      <c r="I18">
        <v>0.99009900990098998</v>
      </c>
      <c r="J18">
        <v>3.07391194856621E-2</v>
      </c>
      <c r="K18" s="8">
        <f t="shared" si="2"/>
        <v>1.5123085769141866</v>
      </c>
      <c r="L18" t="s">
        <v>275</v>
      </c>
      <c r="M18">
        <v>611</v>
      </c>
      <c r="N18">
        <v>84</v>
      </c>
      <c r="O18">
        <v>21736</v>
      </c>
      <c r="P18">
        <v>2.9645390070921902</v>
      </c>
      <c r="Q18">
        <v>0.99999999354087499</v>
      </c>
      <c r="R18">
        <v>0.98162685345027001</v>
      </c>
      <c r="S18">
        <v>0.980001643428001</v>
      </c>
    </row>
    <row r="19" spans="1:19" x14ac:dyDescent="0.2">
      <c r="A19" t="s">
        <v>67</v>
      </c>
      <c r="B19" t="s">
        <v>625</v>
      </c>
      <c r="C19" t="s">
        <v>626</v>
      </c>
      <c r="D19" t="str">
        <f t="shared" si="0"/>
        <v>"L-amino acid transmembrane transporter activity",</v>
      </c>
      <c r="E19" t="s">
        <v>393</v>
      </c>
      <c r="F19" t="s">
        <v>598</v>
      </c>
      <c r="G19" t="str">
        <f t="shared" si="1"/>
        <v>"#2c72ae",</v>
      </c>
      <c r="H19">
        <v>4</v>
      </c>
      <c r="I19">
        <v>0.56577086280056499</v>
      </c>
      <c r="J19">
        <v>3.1982637385760099E-2</v>
      </c>
      <c r="K19" s="8">
        <f t="shared" si="2"/>
        <v>1.4950857258663854</v>
      </c>
      <c r="L19" t="s">
        <v>276</v>
      </c>
      <c r="M19">
        <v>611</v>
      </c>
      <c r="N19">
        <v>25</v>
      </c>
      <c r="O19">
        <v>21736</v>
      </c>
      <c r="P19">
        <v>5.6919148936170201</v>
      </c>
      <c r="Q19">
        <v>0.99999999702545295</v>
      </c>
      <c r="R19">
        <v>0.98162685345027001</v>
      </c>
      <c r="S19">
        <v>0.980001643428001</v>
      </c>
    </row>
    <row r="20" spans="1:19" x14ac:dyDescent="0.2">
      <c r="A20" t="s">
        <v>67</v>
      </c>
      <c r="B20" t="s">
        <v>314</v>
      </c>
      <c r="C20" t="s">
        <v>315</v>
      </c>
      <c r="D20" t="str">
        <f t="shared" si="0"/>
        <v>"GTPase activator activity",</v>
      </c>
      <c r="E20" t="s">
        <v>393</v>
      </c>
      <c r="F20" t="s">
        <v>598</v>
      </c>
      <c r="G20" t="str">
        <f t="shared" si="1"/>
        <v>"#2c72ae",</v>
      </c>
      <c r="H20">
        <v>14</v>
      </c>
      <c r="I20">
        <v>1.98019801980198</v>
      </c>
      <c r="J20">
        <v>3.5344868206966397E-2</v>
      </c>
      <c r="K20" s="8">
        <f t="shared" si="2"/>
        <v>1.4516736333857339</v>
      </c>
      <c r="L20" t="s">
        <v>277</v>
      </c>
      <c r="M20">
        <v>611</v>
      </c>
      <c r="N20">
        <v>263</v>
      </c>
      <c r="O20">
        <v>21736</v>
      </c>
      <c r="P20">
        <v>1.8936979208801801</v>
      </c>
      <c r="Q20">
        <v>0.99999999963630604</v>
      </c>
      <c r="R20">
        <v>0.98162685345027001</v>
      </c>
      <c r="S20">
        <v>0.980001643428001</v>
      </c>
    </row>
    <row r="21" spans="1:19" x14ac:dyDescent="0.2">
      <c r="A21" t="s">
        <v>67</v>
      </c>
      <c r="B21" t="s">
        <v>627</v>
      </c>
      <c r="C21" t="s">
        <v>628</v>
      </c>
      <c r="D21" t="str">
        <f t="shared" si="0"/>
        <v>"protein phosphatase inhibitor activity",</v>
      </c>
      <c r="E21" t="s">
        <v>393</v>
      </c>
      <c r="F21" t="s">
        <v>598</v>
      </c>
      <c r="G21" t="str">
        <f t="shared" si="1"/>
        <v>"#2c72ae",</v>
      </c>
      <c r="H21">
        <v>4</v>
      </c>
      <c r="I21">
        <v>0.56577086280056499</v>
      </c>
      <c r="J21">
        <v>3.5421322108401203E-2</v>
      </c>
      <c r="K21" s="8">
        <f t="shared" si="2"/>
        <v>1.450735232709264</v>
      </c>
      <c r="L21" t="s">
        <v>278</v>
      </c>
      <c r="M21">
        <v>611</v>
      </c>
      <c r="N21">
        <v>26</v>
      </c>
      <c r="O21">
        <v>21736</v>
      </c>
      <c r="P21">
        <v>5.4729950900163598</v>
      </c>
      <c r="Q21">
        <v>0.99999999965330599</v>
      </c>
      <c r="R21">
        <v>0.98162685345027001</v>
      </c>
      <c r="S21">
        <v>0.980001643428001</v>
      </c>
    </row>
    <row r="22" spans="1:19" x14ac:dyDescent="0.2">
      <c r="A22" t="s">
        <v>67</v>
      </c>
      <c r="B22" t="s">
        <v>745</v>
      </c>
      <c r="C22" t="s">
        <v>746</v>
      </c>
      <c r="D22" t="str">
        <f t="shared" si="0"/>
        <v>"1-acylglycerol-3-phosphate O-acyltransferase activity",</v>
      </c>
      <c r="E22" t="s">
        <v>393</v>
      </c>
      <c r="F22" t="s">
        <v>598</v>
      </c>
      <c r="G22" t="str">
        <f t="shared" si="1"/>
        <v>"#2c72ae",</v>
      </c>
      <c r="H22">
        <v>3</v>
      </c>
      <c r="I22">
        <v>0.42432814710042399</v>
      </c>
      <c r="J22">
        <v>3.6566957966487401E-2</v>
      </c>
      <c r="K22" s="8">
        <f t="shared" si="2"/>
        <v>1.4369111674530419</v>
      </c>
      <c r="L22" t="s">
        <v>279</v>
      </c>
      <c r="M22">
        <v>611</v>
      </c>
      <c r="N22">
        <v>11</v>
      </c>
      <c r="O22">
        <v>21736</v>
      </c>
      <c r="P22">
        <v>9.7021276595744599</v>
      </c>
      <c r="Q22">
        <v>0.99999999983087395</v>
      </c>
      <c r="R22">
        <v>0.98162685345027001</v>
      </c>
      <c r="S22">
        <v>0.980001643428001</v>
      </c>
    </row>
    <row r="23" spans="1:19" x14ac:dyDescent="0.2">
      <c r="A23" t="s">
        <v>67</v>
      </c>
      <c r="B23" t="s">
        <v>693</v>
      </c>
      <c r="C23" t="s">
        <v>694</v>
      </c>
      <c r="D23" t="str">
        <f t="shared" si="0"/>
        <v>"transmitter-gated monoatomic ion channel activity involved in regulation of postsynaptic membrane potential",</v>
      </c>
      <c r="E23" t="s">
        <v>393</v>
      </c>
      <c r="F23" t="s">
        <v>598</v>
      </c>
      <c r="G23" t="str">
        <f t="shared" si="1"/>
        <v>"#2c72ae",</v>
      </c>
      <c r="H23">
        <v>5</v>
      </c>
      <c r="I23">
        <v>0.70721357850070699</v>
      </c>
      <c r="J23">
        <v>3.6968157550365803E-2</v>
      </c>
      <c r="K23" s="8">
        <f t="shared" si="2"/>
        <v>1.4321721936153877</v>
      </c>
      <c r="L23" t="s">
        <v>222</v>
      </c>
      <c r="M23">
        <v>611</v>
      </c>
      <c r="N23">
        <v>45</v>
      </c>
      <c r="O23">
        <v>21736</v>
      </c>
      <c r="P23">
        <v>3.95271867612293</v>
      </c>
      <c r="Q23">
        <v>0.99999999986849197</v>
      </c>
      <c r="R23">
        <v>0.98162685345027001</v>
      </c>
      <c r="S23">
        <v>0.980001643428001</v>
      </c>
    </row>
    <row r="24" spans="1:19" x14ac:dyDescent="0.2">
      <c r="A24" t="s">
        <v>67</v>
      </c>
      <c r="B24" t="s">
        <v>747</v>
      </c>
      <c r="C24" t="s">
        <v>748</v>
      </c>
      <c r="D24" t="str">
        <f t="shared" si="0"/>
        <v>"transcription cis-regulatory region binding",</v>
      </c>
      <c r="E24" t="s">
        <v>393</v>
      </c>
      <c r="F24" t="s">
        <v>598</v>
      </c>
      <c r="G24" t="str">
        <f t="shared" si="1"/>
        <v>"#2c72ae",</v>
      </c>
      <c r="H24">
        <v>7</v>
      </c>
      <c r="I24">
        <v>0.99009900990098998</v>
      </c>
      <c r="J24">
        <v>3.7379830512179101E-2</v>
      </c>
      <c r="K24" s="8">
        <f t="shared" si="2"/>
        <v>1.4273626721330093</v>
      </c>
      <c r="L24" t="s">
        <v>280</v>
      </c>
      <c r="M24">
        <v>611</v>
      </c>
      <c r="N24">
        <v>88</v>
      </c>
      <c r="O24">
        <v>21736</v>
      </c>
      <c r="P24">
        <v>2.8297872340425498</v>
      </c>
      <c r="Q24">
        <v>0.99999999989842303</v>
      </c>
      <c r="R24">
        <v>0.98162685345027001</v>
      </c>
      <c r="S24">
        <v>0.980001643428001</v>
      </c>
    </row>
    <row r="25" spans="1:19" x14ac:dyDescent="0.2">
      <c r="A25" t="s">
        <v>67</v>
      </c>
      <c r="B25" t="s">
        <v>306</v>
      </c>
      <c r="C25" t="s">
        <v>307</v>
      </c>
      <c r="D25" t="str">
        <f t="shared" si="0"/>
        <v>"peptidase activity",</v>
      </c>
      <c r="E25" t="s">
        <v>393</v>
      </c>
      <c r="F25" t="s">
        <v>598</v>
      </c>
      <c r="G25" t="str">
        <f t="shared" si="1"/>
        <v>"#2c72ae",</v>
      </c>
      <c r="H25">
        <v>21</v>
      </c>
      <c r="I25">
        <v>2.9702970297029698</v>
      </c>
      <c r="J25">
        <v>4.30429999018309E-2</v>
      </c>
      <c r="K25" s="8">
        <f t="shared" si="2"/>
        <v>1.3660974679315996</v>
      </c>
      <c r="L25" t="s">
        <v>281</v>
      </c>
      <c r="M25">
        <v>611</v>
      </c>
      <c r="N25">
        <v>469</v>
      </c>
      <c r="O25">
        <v>21736</v>
      </c>
      <c r="P25">
        <v>1.5928866306764</v>
      </c>
      <c r="Q25">
        <v>0.99999999999712197</v>
      </c>
      <c r="R25">
        <v>1</v>
      </c>
      <c r="S25">
        <v>1</v>
      </c>
    </row>
    <row r="26" spans="1:19" x14ac:dyDescent="0.2">
      <c r="A26" t="s">
        <v>67</v>
      </c>
      <c r="B26" t="s">
        <v>749</v>
      </c>
      <c r="C26" t="s">
        <v>750</v>
      </c>
      <c r="D26" t="str">
        <f t="shared" si="0"/>
        <v>"ubiquitin-protein transferase activity",</v>
      </c>
      <c r="E26" t="s">
        <v>393</v>
      </c>
      <c r="F26" t="s">
        <v>598</v>
      </c>
      <c r="G26" t="str">
        <f t="shared" si="1"/>
        <v>"#2c72ae",</v>
      </c>
      <c r="H26">
        <v>10</v>
      </c>
      <c r="I26">
        <v>1.41442715700141</v>
      </c>
      <c r="J26">
        <v>4.7852214009875799E-2</v>
      </c>
      <c r="K26" s="8">
        <f t="shared" si="2"/>
        <v>1.3200979636336858</v>
      </c>
      <c r="L26" t="s">
        <v>282</v>
      </c>
      <c r="M26">
        <v>611</v>
      </c>
      <c r="N26">
        <v>168</v>
      </c>
      <c r="O26">
        <v>21736</v>
      </c>
      <c r="P26">
        <v>2.1175278622087101</v>
      </c>
      <c r="Q26">
        <v>0.999999999999862</v>
      </c>
      <c r="R26">
        <v>1</v>
      </c>
      <c r="S26">
        <v>1</v>
      </c>
    </row>
    <row r="27" spans="1:19" x14ac:dyDescent="0.2">
      <c r="A27" t="s">
        <v>67</v>
      </c>
      <c r="B27" t="s">
        <v>751</v>
      </c>
      <c r="C27" t="s">
        <v>752</v>
      </c>
      <c r="D27" t="str">
        <f t="shared" si="0"/>
        <v>"histone binding",</v>
      </c>
      <c r="E27" t="s">
        <v>393</v>
      </c>
      <c r="F27" t="s">
        <v>598</v>
      </c>
      <c r="G27" t="str">
        <f t="shared" si="1"/>
        <v>"#2c72ae",</v>
      </c>
      <c r="H27">
        <v>8</v>
      </c>
      <c r="I27">
        <v>1.13154172560113</v>
      </c>
      <c r="J27">
        <v>4.8708331731398602E-2</v>
      </c>
      <c r="K27" s="8">
        <f t="shared" si="2"/>
        <v>1.3123967448329774</v>
      </c>
      <c r="L27" t="s">
        <v>283</v>
      </c>
      <c r="M27">
        <v>611</v>
      </c>
      <c r="N27">
        <v>118</v>
      </c>
      <c r="O27">
        <v>21736</v>
      </c>
      <c r="P27">
        <v>2.41182834475297</v>
      </c>
      <c r="Q27">
        <v>0.99999999999991995</v>
      </c>
      <c r="R27">
        <v>1</v>
      </c>
      <c r="S27">
        <v>1</v>
      </c>
    </row>
    <row r="28" spans="1:19" x14ac:dyDescent="0.2">
      <c r="A28" t="s">
        <v>67</v>
      </c>
      <c r="B28" t="s">
        <v>753</v>
      </c>
      <c r="C28" t="s">
        <v>754</v>
      </c>
      <c r="D28" t="str">
        <f t="shared" si="0"/>
        <v>"phosphatidylinositol 3-kinase binding",</v>
      </c>
      <c r="E28" t="s">
        <v>393</v>
      </c>
      <c r="F28" t="s">
        <v>598</v>
      </c>
      <c r="G28" t="str">
        <f t="shared" si="1"/>
        <v>"#2c72ae",</v>
      </c>
      <c r="H28">
        <v>3</v>
      </c>
      <c r="I28">
        <v>0.42432814710042399</v>
      </c>
      <c r="J28">
        <v>4.9985259257021401E-2</v>
      </c>
      <c r="K28" s="8">
        <f t="shared" si="2"/>
        <v>1.301158051007913</v>
      </c>
      <c r="L28" t="s">
        <v>284</v>
      </c>
      <c r="M28">
        <v>611</v>
      </c>
      <c r="N28">
        <v>13</v>
      </c>
      <c r="O28">
        <v>21736</v>
      </c>
      <c r="P28">
        <v>8.2094926350245494</v>
      </c>
      <c r="Q28">
        <v>0.99999999999996403</v>
      </c>
      <c r="R28">
        <v>1</v>
      </c>
      <c r="S28">
        <v>1</v>
      </c>
    </row>
    <row r="29" spans="1:19" x14ac:dyDescent="0.2">
      <c r="A29" t="s">
        <v>67</v>
      </c>
      <c r="B29" t="s">
        <v>755</v>
      </c>
      <c r="C29" t="s">
        <v>756</v>
      </c>
      <c r="D29" t="str">
        <f t="shared" si="0"/>
        <v>"Roundabout binding",</v>
      </c>
      <c r="E29" t="s">
        <v>393</v>
      </c>
      <c r="F29" t="s">
        <v>598</v>
      </c>
      <c r="G29" t="str">
        <f t="shared" si="1"/>
        <v>"#2c72ae",</v>
      </c>
      <c r="H29">
        <v>3</v>
      </c>
      <c r="I29">
        <v>0.42432814710042399</v>
      </c>
      <c r="J29">
        <v>4.9985259257021401E-2</v>
      </c>
      <c r="K29" s="8">
        <f t="shared" si="2"/>
        <v>1.301158051007913</v>
      </c>
      <c r="L29" t="s">
        <v>285</v>
      </c>
      <c r="M29">
        <v>611</v>
      </c>
      <c r="N29">
        <v>13</v>
      </c>
      <c r="O29">
        <v>21736</v>
      </c>
      <c r="P29">
        <v>8.2094926350245494</v>
      </c>
      <c r="Q29">
        <v>0.99999999999996403</v>
      </c>
      <c r="R29">
        <v>1</v>
      </c>
      <c r="S29">
        <v>1</v>
      </c>
    </row>
    <row r="30" spans="1:19" x14ac:dyDescent="0.2">
      <c r="A30" t="s">
        <v>67</v>
      </c>
      <c r="B30" t="s">
        <v>685</v>
      </c>
      <c r="C30" t="s">
        <v>686</v>
      </c>
      <c r="D30" t="str">
        <f t="shared" si="0"/>
        <v>"acyl-CoA dehydrogenase activity",</v>
      </c>
      <c r="E30" t="s">
        <v>393</v>
      </c>
      <c r="F30" t="s">
        <v>598</v>
      </c>
      <c r="G30" t="str">
        <f t="shared" si="1"/>
        <v>"#2c72ae",</v>
      </c>
      <c r="H30">
        <v>3</v>
      </c>
      <c r="I30">
        <v>0.42432814710042399</v>
      </c>
      <c r="J30">
        <v>4.9985259257021401E-2</v>
      </c>
      <c r="K30" s="8">
        <f t="shared" si="2"/>
        <v>1.301158051007913</v>
      </c>
      <c r="L30" t="s">
        <v>193</v>
      </c>
      <c r="M30">
        <v>611</v>
      </c>
      <c r="N30">
        <v>13</v>
      </c>
      <c r="O30">
        <v>21736</v>
      </c>
      <c r="P30">
        <v>8.2094926350245494</v>
      </c>
      <c r="Q30">
        <v>0.99999999999996403</v>
      </c>
      <c r="R30">
        <v>1</v>
      </c>
      <c r="S30">
        <v>1</v>
      </c>
    </row>
    <row r="31" spans="1:19" x14ac:dyDescent="0.2">
      <c r="A31" s="5" t="s">
        <v>67</v>
      </c>
      <c r="B31" s="5" t="s">
        <v>757</v>
      </c>
      <c r="C31" s="5" t="s">
        <v>758</v>
      </c>
      <c r="D31" s="5" t="str">
        <f t="shared" si="0"/>
        <v>"3'-5' RNA helicase activity",</v>
      </c>
      <c r="E31" s="5" t="s">
        <v>393</v>
      </c>
      <c r="F31" s="5" t="s">
        <v>598</v>
      </c>
      <c r="G31" s="5" t="str">
        <f t="shared" si="1"/>
        <v>"#2c72ae",</v>
      </c>
      <c r="H31" s="5">
        <v>2</v>
      </c>
      <c r="I31" s="5">
        <v>0.28288543140028199</v>
      </c>
      <c r="J31" s="5">
        <v>5.5341746988895602E-2</v>
      </c>
      <c r="K31" s="9">
        <f t="shared" si="2"/>
        <v>1.2569471354794541</v>
      </c>
      <c r="L31" s="5" t="s">
        <v>286</v>
      </c>
      <c r="M31" s="5">
        <v>611</v>
      </c>
      <c r="N31" s="5">
        <v>2</v>
      </c>
      <c r="O31" s="5">
        <v>21736</v>
      </c>
      <c r="P31" s="5">
        <v>35.574468085106297</v>
      </c>
      <c r="Q31" s="5">
        <v>0.999999999999998</v>
      </c>
      <c r="R31" s="5">
        <v>1</v>
      </c>
      <c r="S31" s="5">
        <v>1</v>
      </c>
    </row>
    <row r="32" spans="1:19" x14ac:dyDescent="0.2">
      <c r="A32" s="5" t="s">
        <v>67</v>
      </c>
      <c r="B32" s="5" t="s">
        <v>759</v>
      </c>
      <c r="C32" s="5" t="s">
        <v>760</v>
      </c>
      <c r="D32" s="5" t="str">
        <f t="shared" si="0"/>
        <v>"RNA binding",</v>
      </c>
      <c r="E32" s="5" t="s">
        <v>393</v>
      </c>
      <c r="F32" s="5" t="s">
        <v>598</v>
      </c>
      <c r="G32" s="5" t="str">
        <f t="shared" si="1"/>
        <v>"#2c72ae",</v>
      </c>
      <c r="H32" s="5">
        <v>32</v>
      </c>
      <c r="I32" s="5">
        <v>4.5261669024045199</v>
      </c>
      <c r="J32" s="5">
        <v>5.6632997649228398E-2</v>
      </c>
      <c r="K32" s="9">
        <f t="shared" si="2"/>
        <v>1.2469304500622678</v>
      </c>
      <c r="L32" s="5" t="s">
        <v>287</v>
      </c>
      <c r="M32" s="5">
        <v>611</v>
      </c>
      <c r="N32" s="5">
        <v>817</v>
      </c>
      <c r="O32" s="5">
        <v>21736</v>
      </c>
      <c r="P32" s="5">
        <v>1.3933696190004901</v>
      </c>
      <c r="Q32" s="5">
        <v>0.999999999999999</v>
      </c>
      <c r="R32" s="5">
        <v>1</v>
      </c>
      <c r="S32" s="5">
        <v>1</v>
      </c>
    </row>
    <row r="33" spans="1:19" x14ac:dyDescent="0.2">
      <c r="A33" s="5" t="s">
        <v>67</v>
      </c>
      <c r="B33" s="5" t="s">
        <v>761</v>
      </c>
      <c r="C33" s="5" t="s">
        <v>762</v>
      </c>
      <c r="D33" s="5" t="str">
        <f t="shared" si="0"/>
        <v>"NMDA glutamate receptor activity",</v>
      </c>
      <c r="E33" s="5" t="s">
        <v>393</v>
      </c>
      <c r="F33" s="5" t="s">
        <v>598</v>
      </c>
      <c r="G33" s="5" t="str">
        <f t="shared" si="1"/>
        <v>"#2c72ae",</v>
      </c>
      <c r="H33" s="5">
        <v>3</v>
      </c>
      <c r="I33" s="5">
        <v>0.42432814710042399</v>
      </c>
      <c r="J33" s="5">
        <v>5.7257103926885801E-2</v>
      </c>
      <c r="K33" s="9">
        <f t="shared" si="2"/>
        <v>1.242170622440524</v>
      </c>
      <c r="L33" s="5" t="s">
        <v>219</v>
      </c>
      <c r="M33" s="5">
        <v>611</v>
      </c>
      <c r="N33" s="5">
        <v>14</v>
      </c>
      <c r="O33" s="5">
        <v>21736</v>
      </c>
      <c r="P33" s="5">
        <v>7.6231003039513601</v>
      </c>
      <c r="Q33" s="5">
        <v>0.999999999999999</v>
      </c>
      <c r="R33" s="5">
        <v>1</v>
      </c>
      <c r="S33" s="5">
        <v>1</v>
      </c>
    </row>
    <row r="34" spans="1:19" x14ac:dyDescent="0.2">
      <c r="A34" s="5" t="s">
        <v>67</v>
      </c>
      <c r="B34" s="5" t="s">
        <v>763</v>
      </c>
      <c r="C34" s="5" t="s">
        <v>764</v>
      </c>
      <c r="D34" s="5" t="str">
        <f t="shared" si="0"/>
        <v>"ATP hydrolysis activity",</v>
      </c>
      <c r="E34" s="5" t="s">
        <v>393</v>
      </c>
      <c r="F34" s="5" t="s">
        <v>598</v>
      </c>
      <c r="G34" s="5" t="str">
        <f t="shared" si="1"/>
        <v>"#2c72ae",</v>
      </c>
      <c r="H34" s="5">
        <v>16</v>
      </c>
      <c r="I34" s="5">
        <v>2.26308345120226</v>
      </c>
      <c r="J34" s="5">
        <v>6.0895050286615002E-2</v>
      </c>
      <c r="K34" s="9">
        <f t="shared" si="2"/>
        <v>1.2154180065554945</v>
      </c>
      <c r="L34" s="5" t="s">
        <v>288</v>
      </c>
      <c r="M34" s="5">
        <v>611</v>
      </c>
      <c r="N34" s="5">
        <v>343</v>
      </c>
      <c r="O34" s="5">
        <v>21736</v>
      </c>
      <c r="P34" s="5">
        <v>1.6594504063023301</v>
      </c>
      <c r="Q34" s="5">
        <v>1</v>
      </c>
      <c r="R34" s="5">
        <v>1</v>
      </c>
      <c r="S34" s="5">
        <v>1</v>
      </c>
    </row>
    <row r="35" spans="1:19" x14ac:dyDescent="0.2">
      <c r="A35" s="5" t="s">
        <v>67</v>
      </c>
      <c r="B35" s="5" t="s">
        <v>765</v>
      </c>
      <c r="C35" s="5" t="s">
        <v>766</v>
      </c>
      <c r="D35" s="5" t="str">
        <f t="shared" si="0"/>
        <v>"fibronectin binding",</v>
      </c>
      <c r="E35" s="5" t="s">
        <v>393</v>
      </c>
      <c r="F35" s="5" t="s">
        <v>598</v>
      </c>
      <c r="G35" s="5" t="str">
        <f t="shared" si="1"/>
        <v>"#2c72ae",</v>
      </c>
      <c r="H35" s="5">
        <v>3</v>
      </c>
      <c r="I35" s="5">
        <v>0.42432814710042399</v>
      </c>
      <c r="J35" s="5">
        <v>6.4869125054130602E-2</v>
      </c>
      <c r="K35" s="9">
        <f t="shared" si="2"/>
        <v>1.1879619597347282</v>
      </c>
      <c r="L35" s="5" t="s">
        <v>289</v>
      </c>
      <c r="M35" s="5">
        <v>611</v>
      </c>
      <c r="N35" s="5">
        <v>15</v>
      </c>
      <c r="O35" s="5">
        <v>21736</v>
      </c>
      <c r="P35" s="5">
        <v>7.11489361702127</v>
      </c>
      <c r="Q35" s="5">
        <v>1</v>
      </c>
      <c r="R35" s="5">
        <v>1</v>
      </c>
      <c r="S35" s="5">
        <v>1</v>
      </c>
    </row>
    <row r="36" spans="1:19" x14ac:dyDescent="0.2">
      <c r="A36" s="5" t="s">
        <v>67</v>
      </c>
      <c r="B36" s="5" t="s">
        <v>767</v>
      </c>
      <c r="C36" s="5" t="s">
        <v>768</v>
      </c>
      <c r="D36" s="5" t="str">
        <f t="shared" si="0"/>
        <v>"phosphatidylinositol binding",</v>
      </c>
      <c r="E36" s="5" t="s">
        <v>393</v>
      </c>
      <c r="F36" s="5" t="s">
        <v>598</v>
      </c>
      <c r="G36" s="5" t="str">
        <f t="shared" si="1"/>
        <v>"#2c72ae",</v>
      </c>
      <c r="H36" s="5">
        <v>7</v>
      </c>
      <c r="I36" s="5">
        <v>0.99009900990098998</v>
      </c>
      <c r="J36" s="5">
        <v>6.4945887491686394E-2</v>
      </c>
      <c r="K36" s="9">
        <f t="shared" si="2"/>
        <v>1.1874483441477517</v>
      </c>
      <c r="L36" s="5" t="s">
        <v>290</v>
      </c>
      <c r="M36" s="5">
        <v>611</v>
      </c>
      <c r="N36" s="5">
        <v>101</v>
      </c>
      <c r="O36" s="5">
        <v>21736</v>
      </c>
      <c r="P36" s="5">
        <v>2.4655571940172698</v>
      </c>
      <c r="Q36" s="5">
        <v>1</v>
      </c>
      <c r="R36" s="5">
        <v>1</v>
      </c>
      <c r="S36" s="5">
        <v>1</v>
      </c>
    </row>
    <row r="37" spans="1:19" x14ac:dyDescent="0.2">
      <c r="A37" s="5" t="s">
        <v>67</v>
      </c>
      <c r="B37" s="5" t="s">
        <v>302</v>
      </c>
      <c r="C37" s="5" t="s">
        <v>303</v>
      </c>
      <c r="D37" s="5" t="str">
        <f t="shared" si="0"/>
        <v>"transmembrane receptor protein tyrosine kinase activity",</v>
      </c>
      <c r="E37" s="5" t="s">
        <v>393</v>
      </c>
      <c r="F37" s="5" t="s">
        <v>598</v>
      </c>
      <c r="G37" s="5" t="str">
        <f t="shared" si="1"/>
        <v>"#2c72ae",</v>
      </c>
      <c r="H37" s="5">
        <v>6</v>
      </c>
      <c r="I37" s="5">
        <v>0.84865629420084798</v>
      </c>
      <c r="J37" s="5">
        <v>6.8193054215870699E-2</v>
      </c>
      <c r="K37" s="9">
        <f t="shared" si="2"/>
        <v>1.1662598580317587</v>
      </c>
      <c r="L37" s="5" t="s">
        <v>69</v>
      </c>
      <c r="M37" s="5">
        <v>611</v>
      </c>
      <c r="N37" s="5">
        <v>78</v>
      </c>
      <c r="O37" s="5">
        <v>21736</v>
      </c>
      <c r="P37" s="5">
        <v>2.7364975450081799</v>
      </c>
      <c r="Q37" s="5">
        <v>1</v>
      </c>
      <c r="R37" s="5">
        <v>1</v>
      </c>
      <c r="S37" s="5">
        <v>1</v>
      </c>
    </row>
    <row r="38" spans="1:19" x14ac:dyDescent="0.2">
      <c r="A38" s="5" t="s">
        <v>67</v>
      </c>
      <c r="B38" s="5" t="s">
        <v>334</v>
      </c>
      <c r="C38" s="5" t="s">
        <v>335</v>
      </c>
      <c r="D38" s="5" t="str">
        <f t="shared" si="0"/>
        <v>"protein binding",</v>
      </c>
      <c r="E38" s="5" t="s">
        <v>393</v>
      </c>
      <c r="F38" s="5" t="s">
        <v>598</v>
      </c>
      <c r="G38" s="5" t="str">
        <f t="shared" si="1"/>
        <v>"#2c72ae",</v>
      </c>
      <c r="H38" s="5">
        <v>17</v>
      </c>
      <c r="I38" s="5">
        <v>2.4045261669024001</v>
      </c>
      <c r="J38" s="5">
        <v>6.9801007483030295E-2</v>
      </c>
      <c r="K38" s="9">
        <f t="shared" si="2"/>
        <v>1.156138308878802</v>
      </c>
      <c r="L38" s="5" t="s">
        <v>291</v>
      </c>
      <c r="M38" s="5">
        <v>611</v>
      </c>
      <c r="N38" s="5">
        <v>379</v>
      </c>
      <c r="O38" s="5">
        <v>21736</v>
      </c>
      <c r="P38" s="5">
        <v>1.5956885420760101</v>
      </c>
      <c r="Q38" s="5">
        <v>1</v>
      </c>
      <c r="R38" s="5">
        <v>1</v>
      </c>
      <c r="S38" s="5">
        <v>1</v>
      </c>
    </row>
    <row r="39" spans="1:19" x14ac:dyDescent="0.2">
      <c r="A39" s="5" t="s">
        <v>67</v>
      </c>
      <c r="B39" s="5" t="s">
        <v>769</v>
      </c>
      <c r="C39" s="5" t="s">
        <v>770</v>
      </c>
      <c r="D39" s="5" t="str">
        <f t="shared" si="0"/>
        <v>"cargo receptor activity",</v>
      </c>
      <c r="E39" s="5" t="s">
        <v>393</v>
      </c>
      <c r="F39" s="5" t="s">
        <v>598</v>
      </c>
      <c r="G39" s="5" t="str">
        <f t="shared" si="1"/>
        <v>"#2c72ae",</v>
      </c>
      <c r="H39" s="5">
        <v>3</v>
      </c>
      <c r="I39" s="5">
        <v>0.42432814710042399</v>
      </c>
      <c r="J39" s="5">
        <v>7.2796571929811094E-2</v>
      </c>
      <c r="K39" s="9">
        <f t="shared" si="2"/>
        <v>1.137889071607574</v>
      </c>
      <c r="L39" s="5" t="s">
        <v>292</v>
      </c>
      <c r="M39" s="5">
        <v>611</v>
      </c>
      <c r="N39" s="5">
        <v>16</v>
      </c>
      <c r="O39" s="5">
        <v>21736</v>
      </c>
      <c r="P39" s="5">
        <v>6.6702127659574399</v>
      </c>
      <c r="Q39" s="5">
        <v>1</v>
      </c>
      <c r="R39" s="5">
        <v>1</v>
      </c>
      <c r="S39" s="5">
        <v>1</v>
      </c>
    </row>
    <row r="40" spans="1:19" x14ac:dyDescent="0.2">
      <c r="A40" s="5" t="s">
        <v>67</v>
      </c>
      <c r="B40" s="5" t="s">
        <v>771</v>
      </c>
      <c r="C40" s="5" t="s">
        <v>772</v>
      </c>
      <c r="D40" s="5" t="str">
        <f t="shared" si="0"/>
        <v>"insulin-like growth factor binding",</v>
      </c>
      <c r="E40" s="5" t="s">
        <v>393</v>
      </c>
      <c r="F40" s="5" t="s">
        <v>598</v>
      </c>
      <c r="G40" s="5" t="str">
        <f t="shared" si="1"/>
        <v>"#2c72ae",</v>
      </c>
      <c r="H40" s="5">
        <v>3</v>
      </c>
      <c r="I40" s="5">
        <v>0.42432814710042399</v>
      </c>
      <c r="J40" s="5">
        <v>8.1015811140673702E-2</v>
      </c>
      <c r="K40" s="9">
        <f t="shared" si="2"/>
        <v>1.0914302154294016</v>
      </c>
      <c r="L40" s="5" t="s">
        <v>293</v>
      </c>
      <c r="M40" s="5">
        <v>611</v>
      </c>
      <c r="N40" s="5">
        <v>17</v>
      </c>
      <c r="O40" s="5">
        <v>21736</v>
      </c>
      <c r="P40" s="5">
        <v>6.27784730913642</v>
      </c>
      <c r="Q40" s="5">
        <v>1</v>
      </c>
      <c r="R40" s="5">
        <v>1</v>
      </c>
      <c r="S40" s="5">
        <v>1</v>
      </c>
    </row>
    <row r="41" spans="1:19" x14ac:dyDescent="0.2">
      <c r="A41" s="5" t="s">
        <v>67</v>
      </c>
      <c r="B41" s="5" t="s">
        <v>773</v>
      </c>
      <c r="C41" s="5" t="s">
        <v>774</v>
      </c>
      <c r="D41" s="5" t="str">
        <f t="shared" si="0"/>
        <v>"tryptophan 2,3-dioxygenase activity",</v>
      </c>
      <c r="E41" s="5" t="s">
        <v>393</v>
      </c>
      <c r="F41" s="5" t="s">
        <v>598</v>
      </c>
      <c r="G41" s="5" t="str">
        <f t="shared" si="1"/>
        <v>"#2c72ae",</v>
      </c>
      <c r="H41" s="5">
        <v>2</v>
      </c>
      <c r="I41" s="5">
        <v>0.28288543140028199</v>
      </c>
      <c r="J41" s="5">
        <v>8.1855114725370895E-2</v>
      </c>
      <c r="K41" s="9">
        <f t="shared" si="2"/>
        <v>1.0869541784682328</v>
      </c>
      <c r="L41" s="5" t="s">
        <v>294</v>
      </c>
      <c r="M41" s="5">
        <v>611</v>
      </c>
      <c r="N41" s="5">
        <v>3</v>
      </c>
      <c r="O41" s="5">
        <v>21736</v>
      </c>
      <c r="P41" s="5">
        <v>23.7163120567375</v>
      </c>
      <c r="Q41" s="5">
        <v>1</v>
      </c>
      <c r="R41" s="5">
        <v>1</v>
      </c>
      <c r="S41" s="5">
        <v>1</v>
      </c>
    </row>
    <row r="42" spans="1:19" x14ac:dyDescent="0.2">
      <c r="A42" s="5" t="s">
        <v>67</v>
      </c>
      <c r="B42" s="5" t="s">
        <v>775</v>
      </c>
      <c r="C42" s="5" t="s">
        <v>776</v>
      </c>
      <c r="D42" s="5" t="str">
        <f t="shared" si="0"/>
        <v>"2-oxoglutarate-dependent dioxygenase activity",</v>
      </c>
      <c r="E42" s="5" t="s">
        <v>393</v>
      </c>
      <c r="F42" s="5" t="s">
        <v>598</v>
      </c>
      <c r="G42" s="5" t="str">
        <f t="shared" si="1"/>
        <v>"#2c72ae",</v>
      </c>
      <c r="H42" s="5">
        <v>3</v>
      </c>
      <c r="I42" s="5">
        <v>0.42432814710042399</v>
      </c>
      <c r="J42" s="5">
        <v>8.9504283511346594E-2</v>
      </c>
      <c r="K42" s="9">
        <f t="shared" si="2"/>
        <v>1.0481561796469385</v>
      </c>
      <c r="L42" s="5" t="s">
        <v>295</v>
      </c>
      <c r="M42" s="5">
        <v>611</v>
      </c>
      <c r="N42" s="5">
        <v>18</v>
      </c>
      <c r="O42" s="5">
        <v>21736</v>
      </c>
      <c r="P42" s="5">
        <v>5.9290780141843902</v>
      </c>
      <c r="Q42" s="5">
        <v>1</v>
      </c>
      <c r="R42" s="5">
        <v>1</v>
      </c>
      <c r="S42" s="5">
        <v>1</v>
      </c>
    </row>
    <row r="43" spans="1:19" x14ac:dyDescent="0.2">
      <c r="A43" s="5" t="s">
        <v>67</v>
      </c>
      <c r="B43" s="5" t="s">
        <v>777</v>
      </c>
      <c r="C43" s="5" t="s">
        <v>778</v>
      </c>
      <c r="D43" s="5" t="str">
        <f t="shared" si="0"/>
        <v>"double-stranded RNA binding",</v>
      </c>
      <c r="E43" s="5" t="s">
        <v>393</v>
      </c>
      <c r="F43" s="5" t="s">
        <v>598</v>
      </c>
      <c r="G43" s="5" t="str">
        <f t="shared" si="1"/>
        <v>"#2c72ae",</v>
      </c>
      <c r="H43" s="5">
        <v>4</v>
      </c>
      <c r="I43" s="5">
        <v>0.56577086280056499</v>
      </c>
      <c r="J43" s="5">
        <v>9.0120435243851202E-2</v>
      </c>
      <c r="K43" s="9">
        <f t="shared" si="2"/>
        <v>1.0451767194832</v>
      </c>
      <c r="L43" s="5" t="s">
        <v>296</v>
      </c>
      <c r="M43" s="5">
        <v>611</v>
      </c>
      <c r="N43" s="5">
        <v>38</v>
      </c>
      <c r="O43" s="5">
        <v>21736</v>
      </c>
      <c r="P43" s="5">
        <v>3.7446808510638299</v>
      </c>
      <c r="Q43" s="5">
        <v>1</v>
      </c>
      <c r="R43" s="5">
        <v>1</v>
      </c>
      <c r="S43" s="5">
        <v>1</v>
      </c>
    </row>
    <row r="44" spans="1:19" x14ac:dyDescent="0.2">
      <c r="A44" s="5" t="s">
        <v>67</v>
      </c>
      <c r="B44" s="5" t="s">
        <v>779</v>
      </c>
      <c r="C44" s="5" t="s">
        <v>780</v>
      </c>
      <c r="D44" s="5" t="str">
        <f t="shared" si="0"/>
        <v>"signaling receptor activity",</v>
      </c>
      <c r="E44" s="5" t="s">
        <v>393</v>
      </c>
      <c r="F44" s="5" t="s">
        <v>598</v>
      </c>
      <c r="G44" s="5" t="str">
        <f t="shared" si="1"/>
        <v>"#2c72ae",</v>
      </c>
      <c r="H44" s="5">
        <v>9</v>
      </c>
      <c r="I44" s="5">
        <v>1.2729844413012701</v>
      </c>
      <c r="J44" s="5">
        <v>9.1501162094281205E-2</v>
      </c>
      <c r="K44" s="9">
        <f t="shared" si="2"/>
        <v>1.0385733902184819</v>
      </c>
      <c r="L44" s="5" t="s">
        <v>297</v>
      </c>
      <c r="M44" s="5">
        <v>611</v>
      </c>
      <c r="N44" s="5">
        <v>164</v>
      </c>
      <c r="O44" s="5">
        <v>21736</v>
      </c>
      <c r="P44" s="5">
        <v>1.95225739491437</v>
      </c>
      <c r="Q44" s="5">
        <v>1</v>
      </c>
      <c r="R44" s="5">
        <v>1</v>
      </c>
      <c r="S44" s="5">
        <v>1</v>
      </c>
    </row>
    <row r="45" spans="1:19" x14ac:dyDescent="0.2">
      <c r="A45" s="5" t="s">
        <v>67</v>
      </c>
      <c r="B45" s="5" t="s">
        <v>687</v>
      </c>
      <c r="C45" s="5" t="s">
        <v>688</v>
      </c>
      <c r="D45" s="5" t="str">
        <f t="shared" si="0"/>
        <v>"transferase activity",</v>
      </c>
      <c r="E45" s="5" t="s">
        <v>393</v>
      </c>
      <c r="F45" s="5" t="s">
        <v>598</v>
      </c>
      <c r="G45" s="5" t="str">
        <f t="shared" si="1"/>
        <v>"#2c72ae",</v>
      </c>
      <c r="H45" s="5">
        <v>70</v>
      </c>
      <c r="I45" s="5">
        <v>9.9009900990098991</v>
      </c>
      <c r="J45" s="5">
        <v>9.1599337991620899E-2</v>
      </c>
      <c r="K45" s="9">
        <f t="shared" si="2"/>
        <v>1.0381076650616796</v>
      </c>
      <c r="L45" s="5" t="s">
        <v>298</v>
      </c>
      <c r="M45" s="5">
        <v>611</v>
      </c>
      <c r="N45" s="5">
        <v>2098</v>
      </c>
      <c r="O45" s="5">
        <v>21736</v>
      </c>
      <c r="P45" s="5">
        <v>1.18694602762509</v>
      </c>
      <c r="Q45" s="5">
        <v>1</v>
      </c>
      <c r="R45" s="5">
        <v>1</v>
      </c>
      <c r="S45" s="5">
        <v>1</v>
      </c>
    </row>
    <row r="46" spans="1:19" x14ac:dyDescent="0.2">
      <c r="A46" s="5" t="s">
        <v>67</v>
      </c>
      <c r="B46" s="5" t="s">
        <v>781</v>
      </c>
      <c r="C46" s="5" t="s">
        <v>782</v>
      </c>
      <c r="D46" s="5" t="str">
        <f t="shared" si="0"/>
        <v>"chemorepellent activity",</v>
      </c>
      <c r="E46" s="5" t="s">
        <v>393</v>
      </c>
      <c r="F46" s="5" t="s">
        <v>598</v>
      </c>
      <c r="G46" s="5" t="str">
        <f t="shared" si="1"/>
        <v>"#2c72ae",</v>
      </c>
      <c r="H46" s="5">
        <v>4</v>
      </c>
      <c r="I46" s="5">
        <v>0.56577086280056499</v>
      </c>
      <c r="J46" s="5">
        <v>9.5693298820005795E-2</v>
      </c>
      <c r="K46" s="9">
        <f t="shared" si="2"/>
        <v>1.0191184737946468</v>
      </c>
      <c r="L46" s="5" t="s">
        <v>299</v>
      </c>
      <c r="M46" s="5">
        <v>611</v>
      </c>
      <c r="N46" s="5">
        <v>39</v>
      </c>
      <c r="O46" s="5">
        <v>21736</v>
      </c>
      <c r="P46" s="5">
        <v>3.6486633933442398</v>
      </c>
      <c r="Q46" s="5">
        <v>1</v>
      </c>
      <c r="R46" s="5">
        <v>1</v>
      </c>
      <c r="S46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52F1-1DD1-894C-9AC3-1C62201D28FA}">
  <dimension ref="A1:S47"/>
  <sheetViews>
    <sheetView workbookViewId="0">
      <selection activeCell="K1" sqref="K1:K2"/>
    </sheetView>
  </sheetViews>
  <sheetFormatPr baseColWidth="10" defaultRowHeight="16" x14ac:dyDescent="0.2"/>
  <cols>
    <col min="1" max="1" width="18.83203125" bestFit="1" customWidth="1"/>
    <col min="2" max="2" width="11.33203125" bestFit="1" customWidth="1"/>
    <col min="3" max="3" width="53.5" bestFit="1" customWidth="1"/>
    <col min="4" max="4" width="55.6640625" bestFit="1" customWidth="1"/>
    <col min="5" max="5" width="15.8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15</v>
      </c>
      <c r="B2" s="2" t="s">
        <v>397</v>
      </c>
      <c r="C2" s="2" t="s">
        <v>398</v>
      </c>
      <c r="D2" s="2" t="str">
        <f>CHAR(34)&amp;C2&amp;CHAR(34)&amp;","</f>
        <v>"glial cell development",</v>
      </c>
      <c r="E2" s="2" t="s">
        <v>350</v>
      </c>
      <c r="F2" s="2" t="s">
        <v>596</v>
      </c>
      <c r="G2" s="2" t="str">
        <f>CHAR(34)&amp;F2&amp;CHAR(34)&amp;","</f>
        <v>"#7f6333",</v>
      </c>
      <c r="H2" s="2">
        <v>6</v>
      </c>
      <c r="I2" s="2">
        <v>1.1450381679389301</v>
      </c>
      <c r="J2" s="2">
        <v>1.9595547807315398E-3</v>
      </c>
      <c r="K2" s="7">
        <f>-(LOG(J2))</f>
        <v>2.7078425910086024</v>
      </c>
      <c r="L2" s="2" t="s">
        <v>17</v>
      </c>
      <c r="M2" s="2">
        <v>460</v>
      </c>
      <c r="N2" s="2">
        <v>43</v>
      </c>
      <c r="O2" s="2">
        <v>21944</v>
      </c>
      <c r="P2" s="2">
        <v>6.6564206268958497</v>
      </c>
      <c r="Q2" s="2">
        <v>0.84935444470017796</v>
      </c>
      <c r="R2" s="2">
        <v>0.64431598782642396</v>
      </c>
      <c r="S2" s="2">
        <v>0.64431598782642396</v>
      </c>
    </row>
    <row r="3" spans="1:19" x14ac:dyDescent="0.2">
      <c r="A3" s="2" t="s">
        <v>15</v>
      </c>
      <c r="B3" s="2" t="s">
        <v>419</v>
      </c>
      <c r="C3" s="2" t="s">
        <v>420</v>
      </c>
      <c r="D3" s="2" t="str">
        <f t="shared" ref="D3:D47" si="0">CHAR(34)&amp;C3&amp;CHAR(34)&amp;","</f>
        <v>"monoatomic ion transmembrane transport",</v>
      </c>
      <c r="E3" s="2" t="s">
        <v>350</v>
      </c>
      <c r="F3" s="2" t="s">
        <v>596</v>
      </c>
      <c r="G3" s="2" t="str">
        <f t="shared" ref="G3:G47" si="1">CHAR(34)&amp;F3&amp;CHAR(34)&amp;","</f>
        <v>"#7f6333",</v>
      </c>
      <c r="H3" s="2">
        <v>18</v>
      </c>
      <c r="I3" s="2">
        <v>3.4351145038167901</v>
      </c>
      <c r="J3" s="2">
        <v>2.1253157740872002E-3</v>
      </c>
      <c r="K3" s="7">
        <f t="shared" ref="K3:K47" si="2">-(LOG(J3))</f>
        <v>2.6725765344347452</v>
      </c>
      <c r="L3" s="2" t="s">
        <v>124</v>
      </c>
      <c r="M3" s="2">
        <v>460</v>
      </c>
      <c r="N3" s="2">
        <v>369</v>
      </c>
      <c r="O3" s="2">
        <v>21944</v>
      </c>
      <c r="P3" s="2">
        <v>2.3270413573700899</v>
      </c>
      <c r="Q3" s="2">
        <v>0.87166512899328097</v>
      </c>
      <c r="R3" s="2">
        <v>0.64431598782642396</v>
      </c>
      <c r="S3" s="2">
        <v>0.64431598782642396</v>
      </c>
    </row>
    <row r="4" spans="1:19" x14ac:dyDescent="0.2">
      <c r="A4" s="2" t="s">
        <v>15</v>
      </c>
      <c r="B4" s="2" t="s">
        <v>405</v>
      </c>
      <c r="C4" s="2" t="s">
        <v>406</v>
      </c>
      <c r="D4" s="2" t="str">
        <f t="shared" si="0"/>
        <v>"animal organ development",</v>
      </c>
      <c r="E4" s="2" t="s">
        <v>350</v>
      </c>
      <c r="F4" s="2" t="s">
        <v>596</v>
      </c>
      <c r="G4" s="2" t="str">
        <f t="shared" si="1"/>
        <v>"#7f6333",</v>
      </c>
      <c r="H4" s="2">
        <v>11</v>
      </c>
      <c r="I4" s="2">
        <v>2.0992366412213701</v>
      </c>
      <c r="J4" s="2">
        <v>2.90623040967883E-3</v>
      </c>
      <c r="K4" s="7">
        <f t="shared" si="2"/>
        <v>2.5366699572488294</v>
      </c>
      <c r="L4" s="2" t="s">
        <v>125</v>
      </c>
      <c r="M4" s="2">
        <v>460</v>
      </c>
      <c r="N4" s="2">
        <v>168</v>
      </c>
      <c r="O4" s="2">
        <v>21944</v>
      </c>
      <c r="P4" s="2">
        <v>3.1234989648033098</v>
      </c>
      <c r="Q4" s="2">
        <v>0.93971039257354105</v>
      </c>
      <c r="R4" s="2">
        <v>0.64431598782642396</v>
      </c>
      <c r="S4" s="2">
        <v>0.64431598782642396</v>
      </c>
    </row>
    <row r="5" spans="1:19" x14ac:dyDescent="0.2">
      <c r="A5" s="2" t="s">
        <v>15</v>
      </c>
      <c r="B5" s="2" t="s">
        <v>399</v>
      </c>
      <c r="C5" s="2" t="s">
        <v>400</v>
      </c>
      <c r="D5" s="2" t="str">
        <f t="shared" si="0"/>
        <v>"retina development in camera-type eye",</v>
      </c>
      <c r="E5" s="2" t="s">
        <v>350</v>
      </c>
      <c r="F5" s="2" t="s">
        <v>596</v>
      </c>
      <c r="G5" s="2" t="str">
        <f t="shared" si="1"/>
        <v>"#7f6333",</v>
      </c>
      <c r="H5" s="2">
        <v>10</v>
      </c>
      <c r="I5" s="2">
        <v>1.90839694656488</v>
      </c>
      <c r="J5" s="2">
        <v>3.05897805469696E-3</v>
      </c>
      <c r="K5" s="7">
        <f t="shared" si="2"/>
        <v>2.5144236386603689</v>
      </c>
      <c r="L5" s="2" t="s">
        <v>126</v>
      </c>
      <c r="M5" s="2">
        <v>460</v>
      </c>
      <c r="N5" s="2">
        <v>142</v>
      </c>
      <c r="O5" s="2">
        <v>21944</v>
      </c>
      <c r="P5" s="2">
        <v>3.3594611145131599</v>
      </c>
      <c r="Q5" s="2">
        <v>0.947996173216615</v>
      </c>
      <c r="R5" s="2">
        <v>0.64431598782642396</v>
      </c>
      <c r="S5" s="2">
        <v>0.64431598782642396</v>
      </c>
    </row>
    <row r="6" spans="1:19" x14ac:dyDescent="0.2">
      <c r="A6" s="2" t="s">
        <v>15</v>
      </c>
      <c r="B6" s="2" t="s">
        <v>395</v>
      </c>
      <c r="C6" s="2" t="s">
        <v>396</v>
      </c>
      <c r="D6" s="2" t="str">
        <f t="shared" si="0"/>
        <v>"cell surface receptor protein tyrosine kinase signaling pathway",</v>
      </c>
      <c r="E6" s="2" t="s">
        <v>350</v>
      </c>
      <c r="F6" s="2" t="s">
        <v>596</v>
      </c>
      <c r="G6" s="2" t="str">
        <f t="shared" si="1"/>
        <v>"#7f6333",</v>
      </c>
      <c r="H6" s="2">
        <v>9</v>
      </c>
      <c r="I6" s="2">
        <v>1.7175572519083899</v>
      </c>
      <c r="J6" s="2">
        <v>3.9645170450001398E-3</v>
      </c>
      <c r="K6" s="7">
        <f t="shared" si="2"/>
        <v>2.4018097106077674</v>
      </c>
      <c r="L6" s="2" t="s">
        <v>16</v>
      </c>
      <c r="M6" s="2">
        <v>460</v>
      </c>
      <c r="N6" s="2">
        <v>121</v>
      </c>
      <c r="O6" s="2">
        <v>21944</v>
      </c>
      <c r="P6" s="2">
        <v>3.54825727632051</v>
      </c>
      <c r="Q6" s="2">
        <v>0.97836326458365397</v>
      </c>
      <c r="R6" s="2">
        <v>0.64431598782642396</v>
      </c>
      <c r="S6" s="2">
        <v>0.64431598782642396</v>
      </c>
    </row>
    <row r="7" spans="1:19" x14ac:dyDescent="0.2">
      <c r="A7" s="2" t="s">
        <v>15</v>
      </c>
      <c r="B7" s="2" t="s">
        <v>411</v>
      </c>
      <c r="C7" s="2" t="s">
        <v>412</v>
      </c>
      <c r="D7" s="2" t="str">
        <f t="shared" si="0"/>
        <v>"cell adhesion",</v>
      </c>
      <c r="E7" s="2" t="s">
        <v>350</v>
      </c>
      <c r="F7" s="2" t="s">
        <v>596</v>
      </c>
      <c r="G7" s="2" t="str">
        <f t="shared" si="1"/>
        <v>"#7f6333",</v>
      </c>
      <c r="H7" s="2">
        <v>20</v>
      </c>
      <c r="I7" s="2">
        <v>3.8167938931297698</v>
      </c>
      <c r="J7" s="2">
        <v>4.0061097688689597E-3</v>
      </c>
      <c r="K7" s="7">
        <f t="shared" si="2"/>
        <v>2.3972771550521896</v>
      </c>
      <c r="L7" s="2" t="s">
        <v>127</v>
      </c>
      <c r="M7" s="2">
        <v>460</v>
      </c>
      <c r="N7" s="2">
        <v>460</v>
      </c>
      <c r="O7" s="2">
        <v>21944</v>
      </c>
      <c r="P7" s="2">
        <v>2.0741020793950802</v>
      </c>
      <c r="Q7" s="2">
        <v>0.97921783832808196</v>
      </c>
      <c r="R7" s="2">
        <v>0.64431598782642396</v>
      </c>
      <c r="S7" s="2">
        <v>0.64431598782642396</v>
      </c>
    </row>
    <row r="8" spans="1:19" x14ac:dyDescent="0.2">
      <c r="A8" s="2" t="s">
        <v>15</v>
      </c>
      <c r="B8" s="2" t="s">
        <v>401</v>
      </c>
      <c r="C8" s="2" t="s">
        <v>402</v>
      </c>
      <c r="D8" s="2" t="str">
        <f t="shared" si="0"/>
        <v>"endocytosis",</v>
      </c>
      <c r="E8" s="2" t="s">
        <v>350</v>
      </c>
      <c r="F8" s="2" t="s">
        <v>596</v>
      </c>
      <c r="G8" s="2" t="str">
        <f t="shared" si="1"/>
        <v>"#7f6333",</v>
      </c>
      <c r="H8" s="2">
        <v>10</v>
      </c>
      <c r="I8" s="2">
        <v>1.90839694656488</v>
      </c>
      <c r="J8" s="2">
        <v>5.2132404139984302E-3</v>
      </c>
      <c r="K8" s="7">
        <f t="shared" si="2"/>
        <v>2.2828922466698818</v>
      </c>
      <c r="L8" s="2" t="s">
        <v>128</v>
      </c>
      <c r="M8" s="2">
        <v>460</v>
      </c>
      <c r="N8" s="2">
        <v>154</v>
      </c>
      <c r="O8" s="2">
        <v>21944</v>
      </c>
      <c r="P8" s="2">
        <v>3.09768492377188</v>
      </c>
      <c r="Q8" s="2">
        <v>0.99355168278241301</v>
      </c>
      <c r="R8" s="2">
        <v>0.718682428501212</v>
      </c>
      <c r="S8" s="2">
        <v>0.718682428501212</v>
      </c>
    </row>
    <row r="9" spans="1:19" x14ac:dyDescent="0.2">
      <c r="A9" s="2" t="s">
        <v>15</v>
      </c>
      <c r="B9" s="2" t="s">
        <v>447</v>
      </c>
      <c r="C9" s="2" t="s">
        <v>448</v>
      </c>
      <c r="D9" s="2" t="str">
        <f t="shared" si="0"/>
        <v>"peptidyl-serine phosphorylation",</v>
      </c>
      <c r="E9" s="2" t="s">
        <v>350</v>
      </c>
      <c r="F9" s="2" t="s">
        <v>596</v>
      </c>
      <c r="G9" s="2" t="str">
        <f t="shared" si="1"/>
        <v>"#7f6333",</v>
      </c>
      <c r="H9" s="2">
        <v>8</v>
      </c>
      <c r="I9" s="2">
        <v>1.5267175572519001</v>
      </c>
      <c r="J9" s="2">
        <v>8.8200958585843304E-3</v>
      </c>
      <c r="K9" s="7">
        <f t="shared" si="2"/>
        <v>2.0545266948423309</v>
      </c>
      <c r="L9" s="2" t="s">
        <v>129</v>
      </c>
      <c r="M9" s="2">
        <v>460</v>
      </c>
      <c r="N9" s="2">
        <v>111</v>
      </c>
      <c r="O9" s="2">
        <v>21944</v>
      </c>
      <c r="P9" s="2">
        <v>3.4381511946729302</v>
      </c>
      <c r="Q9" s="2">
        <v>0.99980629038202995</v>
      </c>
      <c r="R9" s="2">
        <v>0.95653762372964801</v>
      </c>
      <c r="S9" s="2">
        <v>0.95653762372964801</v>
      </c>
    </row>
    <row r="10" spans="1:19" x14ac:dyDescent="0.2">
      <c r="A10" s="2" t="s">
        <v>15</v>
      </c>
      <c r="B10" s="2" t="s">
        <v>633</v>
      </c>
      <c r="C10" s="2" t="s">
        <v>634</v>
      </c>
      <c r="D10" s="2" t="str">
        <f t="shared" si="0"/>
        <v>"cell-cell junction assembly",</v>
      </c>
      <c r="E10" s="2" t="s">
        <v>350</v>
      </c>
      <c r="F10" s="2" t="s">
        <v>596</v>
      </c>
      <c r="G10" s="2" t="str">
        <f t="shared" si="1"/>
        <v>"#7f6333",</v>
      </c>
      <c r="H10" s="2">
        <v>6</v>
      </c>
      <c r="I10" s="2">
        <v>1.1450381679389301</v>
      </c>
      <c r="J10" s="2">
        <v>8.9210762834889407E-3</v>
      </c>
      <c r="K10" s="7">
        <f t="shared" si="2"/>
        <v>2.0495827469935084</v>
      </c>
      <c r="L10" s="2" t="s">
        <v>130</v>
      </c>
      <c r="M10" s="2">
        <v>460</v>
      </c>
      <c r="N10" s="2">
        <v>61</v>
      </c>
      <c r="O10" s="2">
        <v>21944</v>
      </c>
      <c r="P10" s="2">
        <v>4.6922309337134704</v>
      </c>
      <c r="Q10" s="2">
        <v>0.99982442927160697</v>
      </c>
      <c r="R10" s="2">
        <v>0.95653762372964801</v>
      </c>
      <c r="S10" s="2">
        <v>0.95653762372964801</v>
      </c>
    </row>
    <row r="11" spans="1:19" x14ac:dyDescent="0.2">
      <c r="A11" t="s">
        <v>15</v>
      </c>
      <c r="B11" t="s">
        <v>635</v>
      </c>
      <c r="C11" t="s">
        <v>636</v>
      </c>
      <c r="D11" t="str">
        <f t="shared" si="0"/>
        <v>"axon extension involved in axon guidance",</v>
      </c>
      <c r="E11" t="s">
        <v>350</v>
      </c>
      <c r="F11" t="s">
        <v>596</v>
      </c>
      <c r="G11" t="str">
        <f t="shared" si="1"/>
        <v>"#7f6333",</v>
      </c>
      <c r="H11">
        <v>3</v>
      </c>
      <c r="I11">
        <v>0.57251908396946505</v>
      </c>
      <c r="J11">
        <v>1.12447162454239E-2</v>
      </c>
      <c r="K11" s="8">
        <f t="shared" si="2"/>
        <v>1.9490514992858379</v>
      </c>
      <c r="L11" t="s">
        <v>131</v>
      </c>
      <c r="M11">
        <v>460</v>
      </c>
      <c r="N11">
        <v>8</v>
      </c>
      <c r="O11">
        <v>21944</v>
      </c>
      <c r="P11">
        <v>17.889130434782601</v>
      </c>
      <c r="Q11">
        <v>0.99998177327218596</v>
      </c>
      <c r="R11">
        <v>1</v>
      </c>
      <c r="S11">
        <v>1</v>
      </c>
    </row>
    <row r="12" spans="1:19" x14ac:dyDescent="0.2">
      <c r="A12" t="s">
        <v>15</v>
      </c>
      <c r="B12" t="s">
        <v>409</v>
      </c>
      <c r="C12" t="s">
        <v>410</v>
      </c>
      <c r="D12" t="str">
        <f t="shared" si="0"/>
        <v>"fibroblast growth factor receptor signaling pathway",</v>
      </c>
      <c r="E12" t="s">
        <v>350</v>
      </c>
      <c r="F12" t="s">
        <v>596</v>
      </c>
      <c r="G12" t="str">
        <f t="shared" si="1"/>
        <v>"#7f6333",</v>
      </c>
      <c r="H12">
        <v>5</v>
      </c>
      <c r="I12">
        <v>0.95419847328244201</v>
      </c>
      <c r="J12">
        <v>1.5429781065785001E-2</v>
      </c>
      <c r="K12" s="8">
        <f t="shared" si="2"/>
        <v>1.8116402361271324</v>
      </c>
      <c r="L12" t="s">
        <v>132</v>
      </c>
      <c r="M12">
        <v>460</v>
      </c>
      <c r="N12">
        <v>46</v>
      </c>
      <c r="O12">
        <v>21944</v>
      </c>
      <c r="P12">
        <v>5.1852551984877104</v>
      </c>
      <c r="Q12">
        <v>0.99999969586888104</v>
      </c>
      <c r="R12">
        <v>1</v>
      </c>
      <c r="S12">
        <v>1</v>
      </c>
    </row>
    <row r="13" spans="1:19" x14ac:dyDescent="0.2">
      <c r="A13" t="s">
        <v>15</v>
      </c>
      <c r="B13" t="s">
        <v>637</v>
      </c>
      <c r="C13" t="s">
        <v>638</v>
      </c>
      <c r="D13" t="str">
        <f t="shared" si="0"/>
        <v>"axon guidance",</v>
      </c>
      <c r="E13" t="s">
        <v>350</v>
      </c>
      <c r="F13" t="s">
        <v>596</v>
      </c>
      <c r="G13" t="str">
        <f t="shared" si="1"/>
        <v>"#7f6333",</v>
      </c>
      <c r="H13">
        <v>11</v>
      </c>
      <c r="I13">
        <v>2.0992366412213701</v>
      </c>
      <c r="J13">
        <v>1.8378764438302699E-2</v>
      </c>
      <c r="K13" s="8">
        <f t="shared" si="2"/>
        <v>1.7356836885790639</v>
      </c>
      <c r="L13" t="s">
        <v>133</v>
      </c>
      <c r="M13">
        <v>460</v>
      </c>
      <c r="N13">
        <v>221</v>
      </c>
      <c r="O13">
        <v>21944</v>
      </c>
      <c r="P13">
        <v>2.3744245524296601</v>
      </c>
      <c r="Q13">
        <v>0.999999983176866</v>
      </c>
      <c r="R13">
        <v>1</v>
      </c>
      <c r="S13">
        <v>1</v>
      </c>
    </row>
    <row r="14" spans="1:19" x14ac:dyDescent="0.2">
      <c r="A14" t="s">
        <v>15</v>
      </c>
      <c r="B14" t="s">
        <v>639</v>
      </c>
      <c r="C14" t="s">
        <v>640</v>
      </c>
      <c r="D14" t="str">
        <f t="shared" si="0"/>
        <v>"axis elongation",</v>
      </c>
      <c r="E14" t="s">
        <v>350</v>
      </c>
      <c r="F14" t="s">
        <v>596</v>
      </c>
      <c r="G14" t="str">
        <f t="shared" si="1"/>
        <v>"#7f6333",</v>
      </c>
      <c r="H14">
        <v>3</v>
      </c>
      <c r="I14">
        <v>0.57251908396946505</v>
      </c>
      <c r="J14">
        <v>2.5082121174212602E-2</v>
      </c>
      <c r="K14" s="8">
        <f t="shared" si="2"/>
        <v>1.6006357383635927</v>
      </c>
      <c r="L14" t="s">
        <v>134</v>
      </c>
      <c r="M14">
        <v>460</v>
      </c>
      <c r="N14">
        <v>12</v>
      </c>
      <c r="O14">
        <v>21944</v>
      </c>
      <c r="P14">
        <v>11.926086956521701</v>
      </c>
      <c r="Q14">
        <v>0.99999999997739697</v>
      </c>
      <c r="R14">
        <v>1</v>
      </c>
      <c r="S14">
        <v>1</v>
      </c>
    </row>
    <row r="15" spans="1:19" x14ac:dyDescent="0.2">
      <c r="A15" t="s">
        <v>15</v>
      </c>
      <c r="B15" t="s">
        <v>423</v>
      </c>
      <c r="C15" t="s">
        <v>424</v>
      </c>
      <c r="D15" t="str">
        <f t="shared" si="0"/>
        <v>"intracellular protein transport",</v>
      </c>
      <c r="E15" t="s">
        <v>350</v>
      </c>
      <c r="F15" t="s">
        <v>596</v>
      </c>
      <c r="G15" t="str">
        <f t="shared" si="1"/>
        <v>"#7f6333",</v>
      </c>
      <c r="H15">
        <v>12</v>
      </c>
      <c r="I15">
        <v>2.2900763358778602</v>
      </c>
      <c r="J15">
        <v>2.75357502587107E-2</v>
      </c>
      <c r="K15" s="8">
        <f t="shared" si="2"/>
        <v>1.5601030859239706</v>
      </c>
      <c r="L15" t="s">
        <v>135</v>
      </c>
      <c r="M15">
        <v>460</v>
      </c>
      <c r="N15">
        <v>270</v>
      </c>
      <c r="O15">
        <v>21944</v>
      </c>
      <c r="P15">
        <v>2.1201932367149698</v>
      </c>
      <c r="Q15">
        <v>0.99999999999801303</v>
      </c>
      <c r="R15">
        <v>1</v>
      </c>
      <c r="S15">
        <v>1</v>
      </c>
    </row>
    <row r="16" spans="1:19" x14ac:dyDescent="0.2">
      <c r="A16" t="s">
        <v>15</v>
      </c>
      <c r="B16" t="s">
        <v>425</v>
      </c>
      <c r="C16" t="s">
        <v>426</v>
      </c>
      <c r="D16" t="str">
        <f t="shared" si="0"/>
        <v>"regulation of membrane potential",</v>
      </c>
      <c r="E16" t="s">
        <v>350</v>
      </c>
      <c r="F16" t="s">
        <v>596</v>
      </c>
      <c r="G16" t="str">
        <f t="shared" si="1"/>
        <v>"#7f6333",</v>
      </c>
      <c r="H16">
        <v>5</v>
      </c>
      <c r="I16">
        <v>0.95419847328244201</v>
      </c>
      <c r="J16">
        <v>2.7881592304931899E-2</v>
      </c>
      <c r="K16" s="8">
        <f t="shared" si="2"/>
        <v>1.5546824275073641</v>
      </c>
      <c r="L16" t="s">
        <v>136</v>
      </c>
      <c r="M16">
        <v>460</v>
      </c>
      <c r="N16">
        <v>55</v>
      </c>
      <c r="O16">
        <v>21944</v>
      </c>
      <c r="P16">
        <v>4.3367588932806296</v>
      </c>
      <c r="Q16">
        <v>0.99999999999859002</v>
      </c>
      <c r="R16">
        <v>1</v>
      </c>
      <c r="S16">
        <v>1</v>
      </c>
    </row>
    <row r="17" spans="1:19" x14ac:dyDescent="0.2">
      <c r="A17" t="s">
        <v>15</v>
      </c>
      <c r="B17" t="s">
        <v>445</v>
      </c>
      <c r="C17" t="s">
        <v>446</v>
      </c>
      <c r="D17" t="str">
        <f t="shared" si="0"/>
        <v>"calcium ion transmembrane transport",</v>
      </c>
      <c r="E17" t="s">
        <v>350</v>
      </c>
      <c r="F17" t="s">
        <v>596</v>
      </c>
      <c r="G17" t="str">
        <f t="shared" si="1"/>
        <v>"#7f6333",</v>
      </c>
      <c r="H17">
        <v>7</v>
      </c>
      <c r="I17">
        <v>1.33587786259541</v>
      </c>
      <c r="J17">
        <v>2.81422635795474E-2</v>
      </c>
      <c r="K17" s="8">
        <f t="shared" si="2"/>
        <v>1.550640973689821</v>
      </c>
      <c r="L17" t="s">
        <v>137</v>
      </c>
      <c r="M17">
        <v>460</v>
      </c>
      <c r="N17">
        <v>110</v>
      </c>
      <c r="O17">
        <v>21944</v>
      </c>
      <c r="P17">
        <v>3.0357312252964399</v>
      </c>
      <c r="Q17">
        <v>0.99999999999891198</v>
      </c>
      <c r="R17">
        <v>1</v>
      </c>
      <c r="S17">
        <v>1</v>
      </c>
    </row>
    <row r="18" spans="1:19" x14ac:dyDescent="0.2">
      <c r="A18" t="s">
        <v>15</v>
      </c>
      <c r="B18" t="s">
        <v>403</v>
      </c>
      <c r="C18" t="s">
        <v>404</v>
      </c>
      <c r="D18" t="str">
        <f t="shared" si="0"/>
        <v>"positive regulation of kinase activity",</v>
      </c>
      <c r="E18" t="s">
        <v>350</v>
      </c>
      <c r="F18" t="s">
        <v>596</v>
      </c>
      <c r="G18" t="str">
        <f t="shared" si="1"/>
        <v>"#7f6333",</v>
      </c>
      <c r="H18">
        <v>5</v>
      </c>
      <c r="I18">
        <v>0.95419847328244201</v>
      </c>
      <c r="J18">
        <v>3.4889460747915997E-2</v>
      </c>
      <c r="K18" s="8">
        <f t="shared" si="2"/>
        <v>1.4573057429627314</v>
      </c>
      <c r="L18" t="s">
        <v>20</v>
      </c>
      <c r="M18">
        <v>460</v>
      </c>
      <c r="N18">
        <v>59</v>
      </c>
      <c r="O18">
        <v>21944</v>
      </c>
      <c r="P18">
        <v>4.0427413411938096</v>
      </c>
      <c r="Q18">
        <v>0.999999999999998</v>
      </c>
      <c r="R18">
        <v>1</v>
      </c>
      <c r="S18">
        <v>1</v>
      </c>
    </row>
    <row r="19" spans="1:19" x14ac:dyDescent="0.2">
      <c r="A19" t="s">
        <v>15</v>
      </c>
      <c r="B19" t="s">
        <v>641</v>
      </c>
      <c r="C19" t="s">
        <v>642</v>
      </c>
      <c r="D19" t="str">
        <f t="shared" si="0"/>
        <v>"cilium assembly",</v>
      </c>
      <c r="E19" t="s">
        <v>350</v>
      </c>
      <c r="F19" t="s">
        <v>596</v>
      </c>
      <c r="G19" t="str">
        <f t="shared" si="1"/>
        <v>"#7f6333",</v>
      </c>
      <c r="H19">
        <v>12</v>
      </c>
      <c r="I19">
        <v>2.2900763358778602</v>
      </c>
      <c r="J19">
        <v>3.5248011754851503E-2</v>
      </c>
      <c r="K19" s="8">
        <f t="shared" si="2"/>
        <v>1.4528653753605145</v>
      </c>
      <c r="L19" t="s">
        <v>138</v>
      </c>
      <c r="M19">
        <v>460</v>
      </c>
      <c r="N19">
        <v>281</v>
      </c>
      <c r="O19">
        <v>21944</v>
      </c>
      <c r="P19">
        <v>2.03719634844499</v>
      </c>
      <c r="Q19">
        <v>0.999999999999999</v>
      </c>
      <c r="R19">
        <v>1</v>
      </c>
      <c r="S19">
        <v>1</v>
      </c>
    </row>
    <row r="20" spans="1:19" x14ac:dyDescent="0.2">
      <c r="A20" t="s">
        <v>15</v>
      </c>
      <c r="B20" t="s">
        <v>421</v>
      </c>
      <c r="C20" t="s">
        <v>422</v>
      </c>
      <c r="D20" t="str">
        <f t="shared" si="0"/>
        <v>"Kupffer's vesicle development",</v>
      </c>
      <c r="E20" t="s">
        <v>350</v>
      </c>
      <c r="F20" t="s">
        <v>596</v>
      </c>
      <c r="G20" t="str">
        <f t="shared" si="1"/>
        <v>"#7f6333",</v>
      </c>
      <c r="H20">
        <v>6</v>
      </c>
      <c r="I20">
        <v>1.1450381679389301</v>
      </c>
      <c r="J20">
        <v>3.73710254687784E-2</v>
      </c>
      <c r="K20" s="8">
        <f t="shared" si="2"/>
        <v>1.4274649848551673</v>
      </c>
      <c r="L20" t="s">
        <v>139</v>
      </c>
      <c r="M20">
        <v>460</v>
      </c>
      <c r="N20">
        <v>88</v>
      </c>
      <c r="O20">
        <v>21944</v>
      </c>
      <c r="P20">
        <v>3.25256916996047</v>
      </c>
      <c r="Q20">
        <v>0.999999999999999</v>
      </c>
      <c r="R20">
        <v>1</v>
      </c>
      <c r="S20">
        <v>1</v>
      </c>
    </row>
    <row r="21" spans="1:19" x14ac:dyDescent="0.2">
      <c r="A21" t="s">
        <v>15</v>
      </c>
      <c r="B21" t="s">
        <v>643</v>
      </c>
      <c r="C21" t="s">
        <v>644</v>
      </c>
      <c r="D21" t="str">
        <f t="shared" si="0"/>
        <v>"monoatomic ion transport",</v>
      </c>
      <c r="E21" t="s">
        <v>350</v>
      </c>
      <c r="F21" t="s">
        <v>596</v>
      </c>
      <c r="G21" t="str">
        <f t="shared" si="1"/>
        <v>"#7f6333",</v>
      </c>
      <c r="H21">
        <v>21</v>
      </c>
      <c r="I21">
        <v>4.0076335877862501</v>
      </c>
      <c r="J21">
        <v>4.0590403824760701E-2</v>
      </c>
      <c r="K21" s="8">
        <f t="shared" si="2"/>
        <v>1.3915766279635025</v>
      </c>
      <c r="L21" t="s">
        <v>140</v>
      </c>
      <c r="M21">
        <v>460</v>
      </c>
      <c r="N21">
        <v>625</v>
      </c>
      <c r="O21">
        <v>21944</v>
      </c>
      <c r="P21">
        <v>1.6028660869565201</v>
      </c>
      <c r="Q21">
        <v>1</v>
      </c>
      <c r="R21">
        <v>1</v>
      </c>
      <c r="S21">
        <v>1</v>
      </c>
    </row>
    <row r="22" spans="1:19" x14ac:dyDescent="0.2">
      <c r="A22" t="s">
        <v>15</v>
      </c>
      <c r="B22" t="s">
        <v>427</v>
      </c>
      <c r="C22" t="s">
        <v>428</v>
      </c>
      <c r="D22" t="str">
        <f t="shared" si="0"/>
        <v>"apoptotic process",</v>
      </c>
      <c r="E22" t="s">
        <v>350</v>
      </c>
      <c r="F22" t="s">
        <v>596</v>
      </c>
      <c r="G22" t="str">
        <f t="shared" si="1"/>
        <v>"#7f6333",</v>
      </c>
      <c r="H22">
        <v>9</v>
      </c>
      <c r="I22">
        <v>1.7175572519083899</v>
      </c>
      <c r="J22">
        <v>4.3507802185130701E-2</v>
      </c>
      <c r="K22" s="8">
        <f t="shared" si="2"/>
        <v>1.3614328547210277</v>
      </c>
      <c r="L22" t="s">
        <v>141</v>
      </c>
      <c r="M22">
        <v>460</v>
      </c>
      <c r="N22">
        <v>187</v>
      </c>
      <c r="O22">
        <v>21944</v>
      </c>
      <c r="P22">
        <v>2.29593117879562</v>
      </c>
      <c r="Q22">
        <v>1</v>
      </c>
      <c r="R22">
        <v>1</v>
      </c>
      <c r="S22">
        <v>1</v>
      </c>
    </row>
    <row r="23" spans="1:19" x14ac:dyDescent="0.2">
      <c r="A23" t="s">
        <v>15</v>
      </c>
      <c r="B23" t="s">
        <v>407</v>
      </c>
      <c r="C23" t="s">
        <v>408</v>
      </c>
      <c r="D23" t="str">
        <f t="shared" si="0"/>
        <v>"determination of heart left/right asymmetry",</v>
      </c>
      <c r="E23" t="s">
        <v>350</v>
      </c>
      <c r="F23" t="s">
        <v>596</v>
      </c>
      <c r="G23" t="str">
        <f t="shared" si="1"/>
        <v>"#7f6333",</v>
      </c>
      <c r="H23">
        <v>6</v>
      </c>
      <c r="I23">
        <v>1.1450381679389301</v>
      </c>
      <c r="J23">
        <v>4.3900376872536402E-2</v>
      </c>
      <c r="K23" s="8">
        <f t="shared" si="2"/>
        <v>1.3575317514444301</v>
      </c>
      <c r="L23" t="s">
        <v>22</v>
      </c>
      <c r="M23">
        <v>460</v>
      </c>
      <c r="N23">
        <v>92</v>
      </c>
      <c r="O23">
        <v>21944</v>
      </c>
      <c r="P23">
        <v>3.11115311909262</v>
      </c>
      <c r="Q23">
        <v>1</v>
      </c>
      <c r="R23">
        <v>1</v>
      </c>
      <c r="S23">
        <v>1</v>
      </c>
    </row>
    <row r="24" spans="1:19" x14ac:dyDescent="0.2">
      <c r="A24" s="5" t="s">
        <v>15</v>
      </c>
      <c r="B24" s="5" t="s">
        <v>645</v>
      </c>
      <c r="C24" s="5" t="s">
        <v>646</v>
      </c>
      <c r="D24" s="5" t="str">
        <f t="shared" si="0"/>
        <v>"negative chemotaxis",</v>
      </c>
      <c r="E24" s="5" t="s">
        <v>350</v>
      </c>
      <c r="F24" s="5" t="s">
        <v>596</v>
      </c>
      <c r="G24" s="5" t="str">
        <f t="shared" si="1"/>
        <v>"#7f6333",</v>
      </c>
      <c r="H24" s="5">
        <v>4</v>
      </c>
      <c r="I24" s="5">
        <v>0.76335877862595403</v>
      </c>
      <c r="J24" s="5">
        <v>5.0803692879010397E-2</v>
      </c>
      <c r="K24" s="9">
        <f t="shared" si="2"/>
        <v>1.2941047180569116</v>
      </c>
      <c r="L24" s="5" t="s">
        <v>142</v>
      </c>
      <c r="M24" s="5">
        <v>460</v>
      </c>
      <c r="N24" s="5">
        <v>40</v>
      </c>
      <c r="O24" s="5">
        <v>21944</v>
      </c>
      <c r="P24" s="5">
        <v>4.7704347826086897</v>
      </c>
      <c r="Q24" s="5">
        <v>1</v>
      </c>
      <c r="R24" s="5">
        <v>1</v>
      </c>
      <c r="S24" s="5">
        <v>1</v>
      </c>
    </row>
    <row r="25" spans="1:19" x14ac:dyDescent="0.2">
      <c r="A25" s="5" t="s">
        <v>15</v>
      </c>
      <c r="B25" s="5" t="s">
        <v>647</v>
      </c>
      <c r="C25" s="5" t="s">
        <v>648</v>
      </c>
      <c r="D25" s="5" t="str">
        <f t="shared" si="0"/>
        <v>"central nervous system projection neuron axonogenesis",</v>
      </c>
      <c r="E25" s="5" t="s">
        <v>350</v>
      </c>
      <c r="F25" s="5" t="s">
        <v>596</v>
      </c>
      <c r="G25" s="5" t="str">
        <f t="shared" si="1"/>
        <v>"#7f6333",</v>
      </c>
      <c r="H25" s="5">
        <v>3</v>
      </c>
      <c r="I25" s="5">
        <v>0.57251908396946505</v>
      </c>
      <c r="J25" s="5">
        <v>5.3565115710855697E-2</v>
      </c>
      <c r="K25" s="9">
        <f t="shared" si="2"/>
        <v>1.2711179525916965</v>
      </c>
      <c r="L25" s="5" t="s">
        <v>143</v>
      </c>
      <c r="M25" s="5">
        <v>460</v>
      </c>
      <c r="N25" s="5">
        <v>18</v>
      </c>
      <c r="O25" s="5">
        <v>21944</v>
      </c>
      <c r="P25" s="5">
        <v>7.9507246376811596</v>
      </c>
      <c r="Q25" s="5">
        <v>1</v>
      </c>
      <c r="R25" s="5">
        <v>1</v>
      </c>
      <c r="S25" s="5">
        <v>1</v>
      </c>
    </row>
    <row r="26" spans="1:19" x14ac:dyDescent="0.2">
      <c r="A26" s="5" t="s">
        <v>15</v>
      </c>
      <c r="B26" s="5" t="s">
        <v>429</v>
      </c>
      <c r="C26" s="5" t="s">
        <v>430</v>
      </c>
      <c r="D26" s="5" t="str">
        <f t="shared" si="0"/>
        <v>"multicellular organism development",</v>
      </c>
      <c r="E26" s="5" t="s">
        <v>350</v>
      </c>
      <c r="F26" s="5" t="s">
        <v>596</v>
      </c>
      <c r="G26" s="5" t="str">
        <f t="shared" si="1"/>
        <v>"#7f6333",</v>
      </c>
      <c r="H26" s="5">
        <v>6</v>
      </c>
      <c r="I26" s="5">
        <v>1.1450381679389301</v>
      </c>
      <c r="J26" s="5">
        <v>5.4899990842377802E-2</v>
      </c>
      <c r="K26" s="9">
        <f t="shared" si="2"/>
        <v>1.2604277279926244</v>
      </c>
      <c r="L26" s="5" t="s">
        <v>144</v>
      </c>
      <c r="M26" s="5">
        <v>460</v>
      </c>
      <c r="N26" s="5">
        <v>98</v>
      </c>
      <c r="O26" s="5">
        <v>21944</v>
      </c>
      <c r="P26" s="5">
        <v>2.9206743566991999</v>
      </c>
      <c r="Q26" s="5">
        <v>1</v>
      </c>
      <c r="R26" s="5">
        <v>1</v>
      </c>
      <c r="S26" s="5">
        <v>1</v>
      </c>
    </row>
    <row r="27" spans="1:19" x14ac:dyDescent="0.2">
      <c r="A27" s="5" t="s">
        <v>15</v>
      </c>
      <c r="B27" s="5" t="s">
        <v>649</v>
      </c>
      <c r="C27" s="5" t="s">
        <v>650</v>
      </c>
      <c r="D27" s="5" t="str">
        <f t="shared" si="0"/>
        <v>"cell-cell adhesion",</v>
      </c>
      <c r="E27" s="5" t="s">
        <v>350</v>
      </c>
      <c r="F27" s="5" t="s">
        <v>596</v>
      </c>
      <c r="G27" s="5" t="str">
        <f t="shared" si="1"/>
        <v>"#7f6333",</v>
      </c>
      <c r="H27" s="5">
        <v>9</v>
      </c>
      <c r="I27" s="5">
        <v>1.7175572519083899</v>
      </c>
      <c r="J27" s="5">
        <v>5.5876255142717601E-2</v>
      </c>
      <c r="K27" s="9">
        <f t="shared" si="2"/>
        <v>1.2527727082370286</v>
      </c>
      <c r="L27" s="5" t="s">
        <v>145</v>
      </c>
      <c r="M27" s="5">
        <v>460</v>
      </c>
      <c r="N27" s="5">
        <v>197</v>
      </c>
      <c r="O27" s="5">
        <v>21944</v>
      </c>
      <c r="P27" s="5">
        <v>2.1793864489075201</v>
      </c>
      <c r="Q27" s="5">
        <v>1</v>
      </c>
      <c r="R27" s="5">
        <v>1</v>
      </c>
      <c r="S27" s="5">
        <v>1</v>
      </c>
    </row>
    <row r="28" spans="1:19" x14ac:dyDescent="0.2">
      <c r="A28" s="5" t="s">
        <v>15</v>
      </c>
      <c r="B28" s="5" t="s">
        <v>651</v>
      </c>
      <c r="C28" s="5" t="s">
        <v>652</v>
      </c>
      <c r="D28" s="5" t="str">
        <f t="shared" si="0"/>
        <v>"kidney development",</v>
      </c>
      <c r="E28" s="5" t="s">
        <v>350</v>
      </c>
      <c r="F28" s="5" t="s">
        <v>596</v>
      </c>
      <c r="G28" s="5" t="str">
        <f t="shared" si="1"/>
        <v>"#7f6333",</v>
      </c>
      <c r="H28" s="5">
        <v>4</v>
      </c>
      <c r="I28" s="5">
        <v>0.76335877862595403</v>
      </c>
      <c r="J28" s="5">
        <v>6.0656230816197303E-2</v>
      </c>
      <c r="K28" s="9">
        <f t="shared" si="2"/>
        <v>1.2171245802862423</v>
      </c>
      <c r="L28" s="5" t="s">
        <v>146</v>
      </c>
      <c r="M28" s="5">
        <v>460</v>
      </c>
      <c r="N28" s="5">
        <v>43</v>
      </c>
      <c r="O28" s="5">
        <v>21944</v>
      </c>
      <c r="P28" s="5">
        <v>4.4376137512638998</v>
      </c>
      <c r="Q28" s="5">
        <v>1</v>
      </c>
      <c r="R28" s="5">
        <v>1</v>
      </c>
      <c r="S28" s="5">
        <v>1</v>
      </c>
    </row>
    <row r="29" spans="1:19" x14ac:dyDescent="0.2">
      <c r="A29" s="5" t="s">
        <v>15</v>
      </c>
      <c r="B29" s="5" t="s">
        <v>431</v>
      </c>
      <c r="C29" s="5" t="s">
        <v>432</v>
      </c>
      <c r="D29" s="5" t="str">
        <f t="shared" si="0"/>
        <v>"calcium ion transport",</v>
      </c>
      <c r="E29" s="5" t="s">
        <v>350</v>
      </c>
      <c r="F29" s="5" t="s">
        <v>596</v>
      </c>
      <c r="G29" s="5" t="str">
        <f t="shared" si="1"/>
        <v>"#7f6333",</v>
      </c>
      <c r="H29" s="5">
        <v>6</v>
      </c>
      <c r="I29" s="5">
        <v>1.1450381679389301</v>
      </c>
      <c r="J29" s="5">
        <v>6.09448751113243E-2</v>
      </c>
      <c r="K29" s="9">
        <f t="shared" si="2"/>
        <v>1.2150628085763662</v>
      </c>
      <c r="L29" s="5" t="s">
        <v>147</v>
      </c>
      <c r="M29" s="5">
        <v>460</v>
      </c>
      <c r="N29" s="5">
        <v>101</v>
      </c>
      <c r="O29" s="5">
        <v>21944</v>
      </c>
      <c r="P29" s="5">
        <v>2.8339216530348601</v>
      </c>
      <c r="Q29" s="5">
        <v>1</v>
      </c>
      <c r="R29" s="5">
        <v>1</v>
      </c>
      <c r="S29" s="5">
        <v>1</v>
      </c>
    </row>
    <row r="30" spans="1:19" x14ac:dyDescent="0.2">
      <c r="A30" s="5" t="s">
        <v>15</v>
      </c>
      <c r="B30" s="5" t="s">
        <v>653</v>
      </c>
      <c r="C30" s="5" t="s">
        <v>654</v>
      </c>
      <c r="D30" s="5" t="str">
        <f t="shared" si="0"/>
        <v>"anterior commissure morphogenesis",</v>
      </c>
      <c r="E30" s="5" t="s">
        <v>350</v>
      </c>
      <c r="F30" s="5" t="s">
        <v>596</v>
      </c>
      <c r="G30" s="5" t="str">
        <f t="shared" si="1"/>
        <v>"#7f6333",</v>
      </c>
      <c r="H30" s="5">
        <v>2</v>
      </c>
      <c r="I30" s="5">
        <v>0.38167938931297701</v>
      </c>
      <c r="J30" s="5">
        <v>6.14499833405611E-2</v>
      </c>
      <c r="K30" s="9">
        <f t="shared" si="2"/>
        <v>1.2114782305172076</v>
      </c>
      <c r="L30" s="5" t="s">
        <v>148</v>
      </c>
      <c r="M30" s="5">
        <v>460</v>
      </c>
      <c r="N30" s="5">
        <v>3</v>
      </c>
      <c r="O30" s="5">
        <v>21944</v>
      </c>
      <c r="P30" s="5">
        <v>31.802898550724599</v>
      </c>
      <c r="Q30" s="5">
        <v>1</v>
      </c>
      <c r="R30" s="5">
        <v>1</v>
      </c>
      <c r="S30" s="5">
        <v>1</v>
      </c>
    </row>
    <row r="31" spans="1:19" x14ac:dyDescent="0.2">
      <c r="A31" s="5" t="s">
        <v>15</v>
      </c>
      <c r="B31" s="5" t="s">
        <v>603</v>
      </c>
      <c r="C31" s="5" t="s">
        <v>604</v>
      </c>
      <c r="D31" s="5" t="str">
        <f t="shared" si="0"/>
        <v>"lipid metabolic process",</v>
      </c>
      <c r="E31" s="5" t="s">
        <v>350</v>
      </c>
      <c r="F31" s="5" t="s">
        <v>596</v>
      </c>
      <c r="G31" s="5" t="str">
        <f t="shared" si="1"/>
        <v>"#7f6333",</v>
      </c>
      <c r="H31" s="5">
        <v>16</v>
      </c>
      <c r="I31" s="5">
        <v>3.0534351145038099</v>
      </c>
      <c r="J31" s="5">
        <v>6.2575707933219302E-2</v>
      </c>
      <c r="K31" s="9">
        <f t="shared" si="2"/>
        <v>1.2035942284196743</v>
      </c>
      <c r="L31" s="5" t="s">
        <v>149</v>
      </c>
      <c r="M31" s="5">
        <v>460</v>
      </c>
      <c r="N31" s="5">
        <v>461</v>
      </c>
      <c r="O31" s="5">
        <v>21944</v>
      </c>
      <c r="P31" s="5">
        <v>1.6556823540507399</v>
      </c>
      <c r="Q31" s="5">
        <v>1</v>
      </c>
      <c r="R31" s="5">
        <v>1</v>
      </c>
      <c r="S31" s="5">
        <v>1</v>
      </c>
    </row>
    <row r="32" spans="1:19" x14ac:dyDescent="0.2">
      <c r="A32" s="5" t="s">
        <v>15</v>
      </c>
      <c r="B32" s="5" t="s">
        <v>655</v>
      </c>
      <c r="C32" s="5" t="s">
        <v>656</v>
      </c>
      <c r="D32" s="5" t="str">
        <f t="shared" si="0"/>
        <v>"pancreas regeneration",</v>
      </c>
      <c r="E32" s="5" t="s">
        <v>350</v>
      </c>
      <c r="F32" s="5" t="s">
        <v>596</v>
      </c>
      <c r="G32" s="5" t="str">
        <f t="shared" si="1"/>
        <v>"#7f6333",</v>
      </c>
      <c r="H32" s="5">
        <v>3</v>
      </c>
      <c r="I32" s="5">
        <v>0.57251908396946505</v>
      </c>
      <c r="J32" s="5">
        <v>6.4737419901250301E-2</v>
      </c>
      <c r="K32" s="9">
        <f t="shared" si="2"/>
        <v>1.1888446133205106</v>
      </c>
      <c r="L32" s="5" t="s">
        <v>150</v>
      </c>
      <c r="M32" s="5">
        <v>460</v>
      </c>
      <c r="N32" s="5">
        <v>20</v>
      </c>
      <c r="O32" s="5">
        <v>21944</v>
      </c>
      <c r="P32" s="5">
        <v>7.1556521739130403</v>
      </c>
      <c r="Q32" s="5">
        <v>1</v>
      </c>
      <c r="R32" s="5">
        <v>1</v>
      </c>
      <c r="S32" s="5">
        <v>1</v>
      </c>
    </row>
    <row r="33" spans="1:19" x14ac:dyDescent="0.2">
      <c r="A33" s="5" t="s">
        <v>15</v>
      </c>
      <c r="B33" s="5" t="s">
        <v>415</v>
      </c>
      <c r="C33" s="5" t="s">
        <v>416</v>
      </c>
      <c r="D33" s="5" t="str">
        <f t="shared" si="0"/>
        <v>"posterior lateral line development",</v>
      </c>
      <c r="E33" s="5" t="s">
        <v>350</v>
      </c>
      <c r="F33" s="5" t="s">
        <v>596</v>
      </c>
      <c r="G33" s="5" t="str">
        <f t="shared" si="1"/>
        <v>"#7f6333",</v>
      </c>
      <c r="H33" s="5">
        <v>3</v>
      </c>
      <c r="I33" s="5">
        <v>0.57251908396946505</v>
      </c>
      <c r="J33" s="5">
        <v>6.4737419901250301E-2</v>
      </c>
      <c r="K33" s="9">
        <f t="shared" si="2"/>
        <v>1.1888446133205106</v>
      </c>
      <c r="L33" s="5" t="s">
        <v>26</v>
      </c>
      <c r="M33" s="5">
        <v>460</v>
      </c>
      <c r="N33" s="5">
        <v>20</v>
      </c>
      <c r="O33" s="5">
        <v>21944</v>
      </c>
      <c r="P33" s="5">
        <v>7.1556521739130403</v>
      </c>
      <c r="Q33" s="5">
        <v>1</v>
      </c>
      <c r="R33" s="5">
        <v>1</v>
      </c>
      <c r="S33" s="5">
        <v>1</v>
      </c>
    </row>
    <row r="34" spans="1:19" x14ac:dyDescent="0.2">
      <c r="A34" s="5" t="s">
        <v>15</v>
      </c>
      <c r="B34" s="5" t="s">
        <v>443</v>
      </c>
      <c r="C34" s="5" t="s">
        <v>444</v>
      </c>
      <c r="D34" s="5" t="str">
        <f t="shared" si="0"/>
        <v>"cell development",</v>
      </c>
      <c r="E34" s="5" t="s">
        <v>350</v>
      </c>
      <c r="F34" s="5" t="s">
        <v>596</v>
      </c>
      <c r="G34" s="5" t="str">
        <f t="shared" si="1"/>
        <v>"#7f6333",</v>
      </c>
      <c r="H34" s="5">
        <v>9</v>
      </c>
      <c r="I34" s="5">
        <v>1.7175572519083899</v>
      </c>
      <c r="J34" s="5">
        <v>6.5717839203040904E-2</v>
      </c>
      <c r="K34" s="9">
        <f t="shared" si="2"/>
        <v>1.1823167245678234</v>
      </c>
      <c r="L34" s="5" t="s">
        <v>151</v>
      </c>
      <c r="M34" s="5">
        <v>460</v>
      </c>
      <c r="N34" s="5">
        <v>204</v>
      </c>
      <c r="O34" s="5">
        <v>21944</v>
      </c>
      <c r="P34" s="5">
        <v>2.1046035805626602</v>
      </c>
      <c r="Q34" s="5">
        <v>1</v>
      </c>
      <c r="R34" s="5">
        <v>1</v>
      </c>
      <c r="S34" s="5">
        <v>1</v>
      </c>
    </row>
    <row r="35" spans="1:19" x14ac:dyDescent="0.2">
      <c r="A35" s="5" t="s">
        <v>15</v>
      </c>
      <c r="B35" s="5" t="s">
        <v>657</v>
      </c>
      <c r="C35" s="5" t="s">
        <v>658</v>
      </c>
      <c r="D35" s="5" t="str">
        <f t="shared" si="0"/>
        <v>"negative regulation of transcription by RNA polymerase II",</v>
      </c>
      <c r="E35" s="5" t="s">
        <v>350</v>
      </c>
      <c r="F35" s="5" t="s">
        <v>596</v>
      </c>
      <c r="G35" s="5" t="str">
        <f t="shared" si="1"/>
        <v>"#7f6333",</v>
      </c>
      <c r="H35" s="5">
        <v>11</v>
      </c>
      <c r="I35" s="5">
        <v>2.0992366412213701</v>
      </c>
      <c r="J35" s="5">
        <v>7.1083732170788699E-2</v>
      </c>
      <c r="K35" s="9">
        <f t="shared" si="2"/>
        <v>1.148229778128588</v>
      </c>
      <c r="L35" s="5" t="s">
        <v>152</v>
      </c>
      <c r="M35" s="5">
        <v>460</v>
      </c>
      <c r="N35" s="5">
        <v>280</v>
      </c>
      <c r="O35" s="5">
        <v>21944</v>
      </c>
      <c r="P35" s="5">
        <v>1.87409937888198</v>
      </c>
      <c r="Q35" s="5">
        <v>1</v>
      </c>
      <c r="R35" s="5">
        <v>1</v>
      </c>
      <c r="S35" s="5">
        <v>1</v>
      </c>
    </row>
    <row r="36" spans="1:19" x14ac:dyDescent="0.2">
      <c r="A36" s="5" t="s">
        <v>15</v>
      </c>
      <c r="B36" s="5" t="s">
        <v>439</v>
      </c>
      <c r="C36" s="5" t="s">
        <v>440</v>
      </c>
      <c r="D36" s="5" t="str">
        <f t="shared" si="0"/>
        <v>"positive regulation of cell population proliferation",</v>
      </c>
      <c r="E36" s="5" t="s">
        <v>350</v>
      </c>
      <c r="F36" s="5" t="s">
        <v>596</v>
      </c>
      <c r="G36" s="5" t="str">
        <f t="shared" si="1"/>
        <v>"#7f6333",</v>
      </c>
      <c r="H36" s="5">
        <v>6</v>
      </c>
      <c r="I36" s="5">
        <v>1.1450381679389301</v>
      </c>
      <c r="J36" s="5">
        <v>7.41192329566316E-2</v>
      </c>
      <c r="K36" s="9">
        <f t="shared" si="2"/>
        <v>1.1300690837463669</v>
      </c>
      <c r="L36" s="5" t="s">
        <v>153</v>
      </c>
      <c r="M36" s="5">
        <v>460</v>
      </c>
      <c r="N36" s="5">
        <v>107</v>
      </c>
      <c r="O36" s="5">
        <v>21944</v>
      </c>
      <c r="P36" s="5">
        <v>2.6750101584721602</v>
      </c>
      <c r="Q36" s="5">
        <v>1</v>
      </c>
      <c r="R36" s="5">
        <v>1</v>
      </c>
      <c r="S36" s="5">
        <v>1</v>
      </c>
    </row>
    <row r="37" spans="1:19" x14ac:dyDescent="0.2">
      <c r="A37" s="5" t="s">
        <v>15</v>
      </c>
      <c r="B37" s="5" t="s">
        <v>605</v>
      </c>
      <c r="C37" s="5" t="s">
        <v>606</v>
      </c>
      <c r="D37" s="5" t="str">
        <f t="shared" si="0"/>
        <v>"amino acid transport",</v>
      </c>
      <c r="E37" s="5" t="s">
        <v>350</v>
      </c>
      <c r="F37" s="5" t="s">
        <v>596</v>
      </c>
      <c r="G37" s="5" t="str">
        <f t="shared" si="1"/>
        <v>"#7f6333",</v>
      </c>
      <c r="H37" s="5">
        <v>4</v>
      </c>
      <c r="I37" s="5">
        <v>0.76335877862595403</v>
      </c>
      <c r="J37" s="5">
        <v>7.5059156950084804E-2</v>
      </c>
      <c r="K37" s="9">
        <f t="shared" si="2"/>
        <v>1.1245963178070597</v>
      </c>
      <c r="L37" s="5" t="s">
        <v>93</v>
      </c>
      <c r="M37" s="5">
        <v>460</v>
      </c>
      <c r="N37" s="5">
        <v>47</v>
      </c>
      <c r="O37" s="5">
        <v>21944</v>
      </c>
      <c r="P37" s="5">
        <v>4.05994449583718</v>
      </c>
      <c r="Q37" s="5">
        <v>1</v>
      </c>
      <c r="R37" s="5">
        <v>1</v>
      </c>
      <c r="S37" s="5">
        <v>1</v>
      </c>
    </row>
    <row r="38" spans="1:19" x14ac:dyDescent="0.2">
      <c r="A38" s="5" t="s">
        <v>15</v>
      </c>
      <c r="B38" s="5" t="s">
        <v>413</v>
      </c>
      <c r="C38" s="5" t="s">
        <v>414</v>
      </c>
      <c r="D38" s="5" t="str">
        <f t="shared" si="0"/>
        <v>"glucose homeostasis",</v>
      </c>
      <c r="E38" s="5" t="s">
        <v>350</v>
      </c>
      <c r="F38" s="5" t="s">
        <v>596</v>
      </c>
      <c r="G38" s="5" t="str">
        <f t="shared" si="1"/>
        <v>"#7f6333",</v>
      </c>
      <c r="H38" s="5">
        <v>4</v>
      </c>
      <c r="I38" s="5">
        <v>0.76335877862595403</v>
      </c>
      <c r="J38" s="5">
        <v>7.8875680116836502E-2</v>
      </c>
      <c r="K38" s="9">
        <f t="shared" si="2"/>
        <v>1.1030568829653598</v>
      </c>
      <c r="L38" s="5" t="s">
        <v>25</v>
      </c>
      <c r="M38" s="5">
        <v>460</v>
      </c>
      <c r="N38" s="5">
        <v>48</v>
      </c>
      <c r="O38" s="5">
        <v>21944</v>
      </c>
      <c r="P38" s="5">
        <v>3.9753623188405798</v>
      </c>
      <c r="Q38" s="5">
        <v>1</v>
      </c>
      <c r="R38" s="5">
        <v>1</v>
      </c>
      <c r="S38" s="5">
        <v>1</v>
      </c>
    </row>
    <row r="39" spans="1:19" x14ac:dyDescent="0.2">
      <c r="A39" s="5" t="s">
        <v>15</v>
      </c>
      <c r="B39" s="5" t="s">
        <v>609</v>
      </c>
      <c r="C39" s="5" t="s">
        <v>610</v>
      </c>
      <c r="D39" s="5" t="str">
        <f t="shared" si="0"/>
        <v>"multi-ciliated epithelial cell differentiation",</v>
      </c>
      <c r="E39" s="5" t="s">
        <v>350</v>
      </c>
      <c r="F39" s="5" t="s">
        <v>596</v>
      </c>
      <c r="G39" s="5" t="str">
        <f t="shared" si="1"/>
        <v>"#7f6333",</v>
      </c>
      <c r="H39" s="5">
        <v>2</v>
      </c>
      <c r="I39" s="5">
        <v>0.38167938931297701</v>
      </c>
      <c r="J39" s="5">
        <v>8.1084205008402799E-2</v>
      </c>
      <c r="K39" s="9">
        <f t="shared" si="2"/>
        <v>1.091063736982095</v>
      </c>
      <c r="L39" s="5" t="s">
        <v>96</v>
      </c>
      <c r="M39" s="5">
        <v>460</v>
      </c>
      <c r="N39" s="5">
        <v>4</v>
      </c>
      <c r="O39" s="5">
        <v>21944</v>
      </c>
      <c r="P39" s="5">
        <v>23.852173913043401</v>
      </c>
      <c r="Q39" s="5">
        <v>1</v>
      </c>
      <c r="R39" s="5">
        <v>1</v>
      </c>
      <c r="S39" s="5">
        <v>1</v>
      </c>
    </row>
    <row r="40" spans="1:19" x14ac:dyDescent="0.2">
      <c r="A40" s="5" t="s">
        <v>15</v>
      </c>
      <c r="B40" s="5" t="s">
        <v>659</v>
      </c>
      <c r="C40" s="5" t="s">
        <v>660</v>
      </c>
      <c r="D40" s="5" t="str">
        <f t="shared" si="0"/>
        <v>"extracellular matrix organization",</v>
      </c>
      <c r="E40" s="5" t="s">
        <v>350</v>
      </c>
      <c r="F40" s="5" t="s">
        <v>596</v>
      </c>
      <c r="G40" s="5" t="str">
        <f t="shared" si="1"/>
        <v>"#7f6333",</v>
      </c>
      <c r="H40" s="5">
        <v>7</v>
      </c>
      <c r="I40" s="5">
        <v>1.33587786259541</v>
      </c>
      <c r="J40" s="5">
        <v>8.23299343322762E-2</v>
      </c>
      <c r="K40" s="9">
        <f t="shared" si="2"/>
        <v>1.0844422309888373</v>
      </c>
      <c r="L40" s="5" t="s">
        <v>154</v>
      </c>
      <c r="M40" s="5">
        <v>460</v>
      </c>
      <c r="N40" s="5">
        <v>144</v>
      </c>
      <c r="O40" s="5">
        <v>21944</v>
      </c>
      <c r="P40" s="5">
        <v>2.3189613526569999</v>
      </c>
      <c r="Q40" s="5">
        <v>1</v>
      </c>
      <c r="R40" s="5">
        <v>1</v>
      </c>
      <c r="S40" s="5">
        <v>1</v>
      </c>
    </row>
    <row r="41" spans="1:19" x14ac:dyDescent="0.2">
      <c r="A41" s="5" t="s">
        <v>15</v>
      </c>
      <c r="B41" s="5" t="s">
        <v>607</v>
      </c>
      <c r="C41" s="5" t="s">
        <v>608</v>
      </c>
      <c r="D41" s="5" t="str">
        <f t="shared" si="0"/>
        <v>"amino acid transmembrane transport",</v>
      </c>
      <c r="E41" s="5" t="s">
        <v>350</v>
      </c>
      <c r="F41" s="5" t="s">
        <v>596</v>
      </c>
      <c r="G41" s="5" t="str">
        <f t="shared" si="1"/>
        <v>"#7f6333",</v>
      </c>
      <c r="H41" s="5">
        <v>3</v>
      </c>
      <c r="I41" s="5">
        <v>0.57251908396946505</v>
      </c>
      <c r="J41" s="5">
        <v>8.2779366921647904E-2</v>
      </c>
      <c r="K41" s="9">
        <f t="shared" si="2"/>
        <v>1.0820778993110292</v>
      </c>
      <c r="L41" s="5" t="s">
        <v>95</v>
      </c>
      <c r="M41" s="5">
        <v>460</v>
      </c>
      <c r="N41" s="5">
        <v>23</v>
      </c>
      <c r="O41" s="5">
        <v>21944</v>
      </c>
      <c r="P41" s="5">
        <v>6.2223062381852499</v>
      </c>
      <c r="Q41" s="5">
        <v>1</v>
      </c>
      <c r="R41" s="5">
        <v>1</v>
      </c>
      <c r="S41" s="5">
        <v>1</v>
      </c>
    </row>
    <row r="42" spans="1:19" x14ac:dyDescent="0.2">
      <c r="A42" s="5" t="s">
        <v>15</v>
      </c>
      <c r="B42" s="5" t="s">
        <v>661</v>
      </c>
      <c r="C42" s="5" t="s">
        <v>662</v>
      </c>
      <c r="D42" s="5" t="str">
        <f t="shared" si="0"/>
        <v>"synaptic transmission, glutamatergic",</v>
      </c>
      <c r="E42" s="5" t="s">
        <v>350</v>
      </c>
      <c r="F42" s="5" t="s">
        <v>596</v>
      </c>
      <c r="G42" s="5" t="str">
        <f t="shared" si="1"/>
        <v>"#7f6333",</v>
      </c>
      <c r="H42" s="5">
        <v>4</v>
      </c>
      <c r="I42" s="5">
        <v>0.76335877862595403</v>
      </c>
      <c r="J42" s="5">
        <v>8.6755989976598794E-2</v>
      </c>
      <c r="K42" s="9">
        <f t="shared" si="2"/>
        <v>1.0617005300935662</v>
      </c>
      <c r="L42" s="5" t="s">
        <v>155</v>
      </c>
      <c r="M42" s="5">
        <v>460</v>
      </c>
      <c r="N42" s="5">
        <v>50</v>
      </c>
      <c r="O42" s="5">
        <v>21944</v>
      </c>
      <c r="P42" s="5">
        <v>3.8163478260869499</v>
      </c>
      <c r="Q42" s="5">
        <v>1</v>
      </c>
      <c r="R42" s="5">
        <v>1</v>
      </c>
      <c r="S42" s="5">
        <v>1</v>
      </c>
    </row>
    <row r="43" spans="1:19" x14ac:dyDescent="0.2">
      <c r="A43" s="5" t="s">
        <v>15</v>
      </c>
      <c r="B43" s="5" t="s">
        <v>663</v>
      </c>
      <c r="C43" s="5" t="s">
        <v>664</v>
      </c>
      <c r="D43" s="5" t="str">
        <f t="shared" si="0"/>
        <v>"phosphorylation",</v>
      </c>
      <c r="E43" s="5" t="s">
        <v>350</v>
      </c>
      <c r="F43" s="5" t="s">
        <v>596</v>
      </c>
      <c r="G43" s="5" t="str">
        <f t="shared" si="1"/>
        <v>"#7f6333",</v>
      </c>
      <c r="H43" s="5">
        <v>32</v>
      </c>
      <c r="I43" s="5">
        <v>6.1068702290076304</v>
      </c>
      <c r="J43" s="5">
        <v>8.7866070423809298E-2</v>
      </c>
      <c r="K43" s="9">
        <f t="shared" si="2"/>
        <v>1.0561787958294968</v>
      </c>
      <c r="L43" s="5" t="s">
        <v>156</v>
      </c>
      <c r="M43" s="5">
        <v>460</v>
      </c>
      <c r="N43" s="5">
        <v>1148</v>
      </c>
      <c r="O43" s="5">
        <v>21944</v>
      </c>
      <c r="P43" s="5">
        <v>1.32973791849719</v>
      </c>
      <c r="Q43" s="5">
        <v>1</v>
      </c>
      <c r="R43" s="5">
        <v>1</v>
      </c>
      <c r="S43" s="5">
        <v>1</v>
      </c>
    </row>
    <row r="44" spans="1:19" x14ac:dyDescent="0.2">
      <c r="A44" s="5" t="s">
        <v>15</v>
      </c>
      <c r="B44" s="5" t="s">
        <v>665</v>
      </c>
      <c r="C44" s="5" t="s">
        <v>666</v>
      </c>
      <c r="D44" s="5" t="str">
        <f t="shared" si="0"/>
        <v>"semaphorin-plexin signaling pathway",</v>
      </c>
      <c r="E44" s="5" t="s">
        <v>350</v>
      </c>
      <c r="F44" s="5" t="s">
        <v>596</v>
      </c>
      <c r="G44" s="5" t="str">
        <f t="shared" si="1"/>
        <v>"#7f6333",</v>
      </c>
      <c r="H44" s="5">
        <v>4</v>
      </c>
      <c r="I44" s="5">
        <v>0.76335877862595403</v>
      </c>
      <c r="J44" s="5">
        <v>9.4954273601199304E-2</v>
      </c>
      <c r="K44" s="9">
        <f t="shared" si="2"/>
        <v>1.0224854842218387</v>
      </c>
      <c r="L44" s="5" t="s">
        <v>157</v>
      </c>
      <c r="M44" s="5">
        <v>460</v>
      </c>
      <c r="N44" s="5">
        <v>52</v>
      </c>
      <c r="O44" s="5">
        <v>21944</v>
      </c>
      <c r="P44" s="5">
        <v>3.6695652173913</v>
      </c>
      <c r="Q44" s="5">
        <v>1</v>
      </c>
      <c r="R44" s="5">
        <v>1</v>
      </c>
      <c r="S44" s="5">
        <v>1</v>
      </c>
    </row>
    <row r="45" spans="1:19" x14ac:dyDescent="0.2">
      <c r="A45" s="5" t="s">
        <v>15</v>
      </c>
      <c r="B45" s="5" t="s">
        <v>667</v>
      </c>
      <c r="C45" s="5" t="s">
        <v>668</v>
      </c>
      <c r="D45" s="5" t="str">
        <f t="shared" si="0"/>
        <v>"closure of optic fissure",</v>
      </c>
      <c r="E45" s="5" t="s">
        <v>350</v>
      </c>
      <c r="F45" s="5" t="s">
        <v>596</v>
      </c>
      <c r="G45" s="5" t="str">
        <f t="shared" si="1"/>
        <v>"#7f6333",</v>
      </c>
      <c r="H45" s="5">
        <v>3</v>
      </c>
      <c r="I45" s="5">
        <v>0.57251908396946505</v>
      </c>
      <c r="J45" s="5">
        <v>9.5553158734366095E-2</v>
      </c>
      <c r="K45" s="9">
        <f t="shared" si="2"/>
        <v>1.019754951746275</v>
      </c>
      <c r="L45" s="5" t="s">
        <v>158</v>
      </c>
      <c r="M45" s="5">
        <v>460</v>
      </c>
      <c r="N45" s="5">
        <v>25</v>
      </c>
      <c r="O45" s="5">
        <v>21944</v>
      </c>
      <c r="P45" s="5">
        <v>5.7245217391304299</v>
      </c>
      <c r="Q45" s="5">
        <v>1</v>
      </c>
      <c r="R45" s="5">
        <v>1</v>
      </c>
      <c r="S45" s="5">
        <v>1</v>
      </c>
    </row>
    <row r="46" spans="1:19" x14ac:dyDescent="0.2">
      <c r="A46" s="5" t="s">
        <v>15</v>
      </c>
      <c r="B46" s="5" t="s">
        <v>669</v>
      </c>
      <c r="C46" s="5" t="s">
        <v>670</v>
      </c>
      <c r="D46" s="5" t="str">
        <f t="shared" si="0"/>
        <v>"vasculature development",</v>
      </c>
      <c r="E46" s="5" t="s">
        <v>350</v>
      </c>
      <c r="F46" s="5" t="s">
        <v>596</v>
      </c>
      <c r="G46" s="5" t="str">
        <f t="shared" si="1"/>
        <v>"#7f6333",</v>
      </c>
      <c r="H46" s="5">
        <v>5</v>
      </c>
      <c r="I46" s="5">
        <v>0.95419847328244201</v>
      </c>
      <c r="J46" s="5">
        <v>9.6225707924069495E-2</v>
      </c>
      <c r="K46" s="9">
        <f t="shared" si="2"/>
        <v>1.0167088851553143</v>
      </c>
      <c r="L46" s="5" t="s">
        <v>159</v>
      </c>
      <c r="M46" s="5">
        <v>460</v>
      </c>
      <c r="N46" s="5">
        <v>83</v>
      </c>
      <c r="O46" s="5">
        <v>21944</v>
      </c>
      <c r="P46" s="5">
        <v>2.8737558931377598</v>
      </c>
      <c r="Q46" s="5">
        <v>1</v>
      </c>
      <c r="R46" s="5">
        <v>1</v>
      </c>
      <c r="S46" s="5">
        <v>1</v>
      </c>
    </row>
    <row r="47" spans="1:19" x14ac:dyDescent="0.2">
      <c r="A47" s="5" t="s">
        <v>15</v>
      </c>
      <c r="B47" s="5" t="s">
        <v>671</v>
      </c>
      <c r="C47" s="5" t="s">
        <v>672</v>
      </c>
      <c r="D47" s="5" t="str">
        <f t="shared" si="0"/>
        <v>"pronephros development",</v>
      </c>
      <c r="E47" s="5" t="s">
        <v>350</v>
      </c>
      <c r="F47" s="5" t="s">
        <v>596</v>
      </c>
      <c r="G47" s="5" t="str">
        <f t="shared" si="1"/>
        <v>"#7f6333",</v>
      </c>
      <c r="H47" s="5">
        <v>5</v>
      </c>
      <c r="I47" s="5">
        <v>0.95419847328244201</v>
      </c>
      <c r="J47" s="5">
        <v>9.6225707924069495E-2</v>
      </c>
      <c r="K47" s="9">
        <f t="shared" si="2"/>
        <v>1.0167088851553143</v>
      </c>
      <c r="L47" s="5" t="s">
        <v>160</v>
      </c>
      <c r="M47" s="5">
        <v>460</v>
      </c>
      <c r="N47" s="5">
        <v>83</v>
      </c>
      <c r="O47" s="5">
        <v>21944</v>
      </c>
      <c r="P47" s="5">
        <v>2.8737558931377598</v>
      </c>
      <c r="Q47" s="5">
        <v>1</v>
      </c>
      <c r="R47" s="5">
        <v>1</v>
      </c>
      <c r="S47" s="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3848-64E7-874B-ACB4-F89633E99F42}">
  <dimension ref="A1:S25"/>
  <sheetViews>
    <sheetView workbookViewId="0">
      <selection activeCell="D2" sqref="D2:G2"/>
    </sheetView>
  </sheetViews>
  <sheetFormatPr baseColWidth="10" defaultRowHeight="16" x14ac:dyDescent="0.2"/>
  <cols>
    <col min="1" max="1" width="18.6640625" bestFit="1" customWidth="1"/>
    <col min="2" max="2" width="11.33203125" bestFit="1" customWidth="1"/>
    <col min="3" max="3" width="34.33203125" bestFit="1" customWidth="1"/>
    <col min="4" max="4" width="36.5" bestFit="1" customWidth="1"/>
    <col min="5" max="5" width="17.3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46</v>
      </c>
      <c r="B2" s="2" t="s">
        <v>673</v>
      </c>
      <c r="C2" s="2" t="s">
        <v>674</v>
      </c>
      <c r="D2" s="2" t="str">
        <f>CHAR(34)&amp;C2&amp;CHAR(34)&amp;","</f>
        <v>"adherens junction",</v>
      </c>
      <c r="E2" s="2" t="s">
        <v>394</v>
      </c>
      <c r="F2" s="2" t="s">
        <v>597</v>
      </c>
      <c r="G2" s="2" t="str">
        <f>CHAR(34)&amp;F2&amp;CHAR(34)&amp;","</f>
        <v>"#0da285",</v>
      </c>
      <c r="H2" s="2">
        <v>11</v>
      </c>
      <c r="I2" s="2">
        <v>2.0992366412213701</v>
      </c>
      <c r="J2" s="2">
        <v>1.33865889109349E-3</v>
      </c>
      <c r="K2" s="7">
        <f>-(LOG(J2))</f>
        <v>2.8733300731661147</v>
      </c>
      <c r="L2" s="2" t="s">
        <v>161</v>
      </c>
      <c r="M2" s="2">
        <v>476</v>
      </c>
      <c r="N2" s="2">
        <v>153</v>
      </c>
      <c r="O2" s="2">
        <v>22986</v>
      </c>
      <c r="P2" s="2">
        <v>3.4718240237271298</v>
      </c>
      <c r="Q2" s="2">
        <v>0.31917670455856501</v>
      </c>
      <c r="R2" s="2">
        <v>0.331744325209199</v>
      </c>
      <c r="S2" s="2">
        <v>0.32827661449272599</v>
      </c>
    </row>
    <row r="3" spans="1:19" x14ac:dyDescent="0.2">
      <c r="A3" s="2" t="s">
        <v>46</v>
      </c>
      <c r="B3" s="2" t="s">
        <v>353</v>
      </c>
      <c r="C3" s="2" t="s">
        <v>354</v>
      </c>
      <c r="D3" s="2" t="str">
        <f t="shared" ref="D3:D25" si="0">CHAR(34)&amp;C3&amp;CHAR(34)&amp;","</f>
        <v>"cytoplasm",</v>
      </c>
      <c r="E3" s="2" t="s">
        <v>394</v>
      </c>
      <c r="F3" s="2" t="s">
        <v>597</v>
      </c>
      <c r="G3" s="2" t="str">
        <f t="shared" ref="G3:G25" si="1">CHAR(34)&amp;F3&amp;CHAR(34)&amp;","</f>
        <v>"#0da285",</v>
      </c>
      <c r="H3" s="2">
        <v>139</v>
      </c>
      <c r="I3" s="2">
        <v>26.526717557251899</v>
      </c>
      <c r="J3" s="2">
        <v>2.4728243703982999E-3</v>
      </c>
      <c r="K3" s="7">
        <f t="shared" ref="K3:K25" si="2">-(LOG(J3))</f>
        <v>2.6068067278261209</v>
      </c>
      <c r="L3" s="2" t="s">
        <v>162</v>
      </c>
      <c r="M3" s="2">
        <v>476</v>
      </c>
      <c r="N3" s="2">
        <v>5385</v>
      </c>
      <c r="O3" s="2">
        <v>22986</v>
      </c>
      <c r="P3" s="2">
        <v>1.24648065354275</v>
      </c>
      <c r="Q3" s="2">
        <v>0.50864064060469605</v>
      </c>
      <c r="R3" s="2">
        <v>0.331744325209199</v>
      </c>
      <c r="S3" s="2">
        <v>0.32827661449272599</v>
      </c>
    </row>
    <row r="4" spans="1:19" x14ac:dyDescent="0.2">
      <c r="A4" s="2" t="s">
        <v>46</v>
      </c>
      <c r="B4" s="2" t="s">
        <v>351</v>
      </c>
      <c r="C4" s="2" t="s">
        <v>352</v>
      </c>
      <c r="D4" s="2" t="str">
        <f t="shared" si="0"/>
        <v>"cytoskeleton",</v>
      </c>
      <c r="E4" s="2" t="s">
        <v>394</v>
      </c>
      <c r="F4" s="2" t="s">
        <v>597</v>
      </c>
      <c r="G4" s="2" t="str">
        <f t="shared" si="1"/>
        <v>"#0da285",</v>
      </c>
      <c r="H4" s="2">
        <v>27</v>
      </c>
      <c r="I4" s="2">
        <v>5.1526717557251898</v>
      </c>
      <c r="J4" s="2">
        <v>4.4347985594375599E-3</v>
      </c>
      <c r="K4" s="7">
        <f t="shared" si="2"/>
        <v>2.3531261022159216</v>
      </c>
      <c r="L4" s="2" t="s">
        <v>163</v>
      </c>
      <c r="M4" s="2">
        <v>476</v>
      </c>
      <c r="N4" s="2">
        <v>720</v>
      </c>
      <c r="O4" s="2">
        <v>22986</v>
      </c>
      <c r="P4" s="2">
        <v>1.8108718487394899</v>
      </c>
      <c r="Q4" s="2">
        <v>0.72074162095660599</v>
      </c>
      <c r="R4" s="2">
        <v>0.331744325209199</v>
      </c>
      <c r="S4" s="2">
        <v>0.32827661449272599</v>
      </c>
    </row>
    <row r="5" spans="1:19" x14ac:dyDescent="0.2">
      <c r="A5" s="2" t="s">
        <v>46</v>
      </c>
      <c r="B5" s="2" t="s">
        <v>357</v>
      </c>
      <c r="C5" s="2" t="s">
        <v>358</v>
      </c>
      <c r="D5" s="2" t="str">
        <f t="shared" si="0"/>
        <v>"postsynaptic membrane",</v>
      </c>
      <c r="E5" s="2" t="s">
        <v>394</v>
      </c>
      <c r="F5" s="2" t="s">
        <v>597</v>
      </c>
      <c r="G5" s="2" t="str">
        <f t="shared" si="1"/>
        <v>"#0da285",</v>
      </c>
      <c r="H5" s="2">
        <v>11</v>
      </c>
      <c r="I5" s="2">
        <v>2.0992366412213701</v>
      </c>
      <c r="J5" s="2">
        <v>4.6919138899316898E-3</v>
      </c>
      <c r="K5" s="7">
        <f t="shared" si="2"/>
        <v>2.3286499670319292</v>
      </c>
      <c r="L5" s="2" t="s">
        <v>164</v>
      </c>
      <c r="M5" s="2">
        <v>476</v>
      </c>
      <c r="N5" s="2">
        <v>182</v>
      </c>
      <c r="O5" s="2">
        <v>22986</v>
      </c>
      <c r="P5" s="2">
        <v>2.9186212946717101</v>
      </c>
      <c r="Q5" s="2">
        <v>0.74069445951093105</v>
      </c>
      <c r="R5" s="2">
        <v>0.331744325209199</v>
      </c>
      <c r="S5" s="2">
        <v>0.32827661449272599</v>
      </c>
    </row>
    <row r="6" spans="1:19" x14ac:dyDescent="0.2">
      <c r="A6" s="2" t="s">
        <v>46</v>
      </c>
      <c r="B6" s="2" t="s">
        <v>675</v>
      </c>
      <c r="C6" s="2" t="s">
        <v>676</v>
      </c>
      <c r="D6" s="2" t="str">
        <f t="shared" si="0"/>
        <v>"exocyst",</v>
      </c>
      <c r="E6" s="2" t="s">
        <v>394</v>
      </c>
      <c r="F6" s="2" t="s">
        <v>597</v>
      </c>
      <c r="G6" s="2" t="str">
        <f t="shared" si="1"/>
        <v>"#0da285",</v>
      </c>
      <c r="H6" s="2">
        <v>4</v>
      </c>
      <c r="I6" s="2">
        <v>0.76335877862595403</v>
      </c>
      <c r="J6" s="2">
        <v>6.6419866427455503E-3</v>
      </c>
      <c r="K6" s="7">
        <f t="shared" si="2"/>
        <v>2.1777020021172984</v>
      </c>
      <c r="L6" s="2" t="s">
        <v>165</v>
      </c>
      <c r="M6" s="2">
        <v>476</v>
      </c>
      <c r="N6" s="2">
        <v>19</v>
      </c>
      <c r="O6" s="2">
        <v>22986</v>
      </c>
      <c r="P6" s="2">
        <v>10.1662980981866</v>
      </c>
      <c r="Q6" s="2">
        <v>0.85230544907207095</v>
      </c>
      <c r="R6" s="2">
        <v>0.331744325209199</v>
      </c>
      <c r="S6" s="2">
        <v>0.32827661449272599</v>
      </c>
    </row>
    <row r="7" spans="1:19" x14ac:dyDescent="0.2">
      <c r="A7" s="2" t="s">
        <v>46</v>
      </c>
      <c r="B7" s="2" t="s">
        <v>385</v>
      </c>
      <c r="C7" s="2" t="s">
        <v>386</v>
      </c>
      <c r="D7" s="2" t="str">
        <f t="shared" si="0"/>
        <v>"voltage-gated calcium channel complex",</v>
      </c>
      <c r="E7" s="2" t="s">
        <v>394</v>
      </c>
      <c r="F7" s="2" t="s">
        <v>597</v>
      </c>
      <c r="G7" s="2" t="str">
        <f t="shared" si="1"/>
        <v>"#0da285",</v>
      </c>
      <c r="H7" s="2">
        <v>5</v>
      </c>
      <c r="I7" s="2">
        <v>0.95419847328244201</v>
      </c>
      <c r="J7" s="2">
        <v>6.9354214329449297E-3</v>
      </c>
      <c r="K7" s="7">
        <f t="shared" si="2"/>
        <v>2.1589271437555775</v>
      </c>
      <c r="L7" s="2" t="s">
        <v>166</v>
      </c>
      <c r="M7" s="2">
        <v>476</v>
      </c>
      <c r="N7" s="2">
        <v>37</v>
      </c>
      <c r="O7" s="2">
        <v>22986</v>
      </c>
      <c r="P7" s="2">
        <v>6.5256643197819599</v>
      </c>
      <c r="Q7" s="2">
        <v>0.86431244040613497</v>
      </c>
      <c r="R7" s="2">
        <v>0.331744325209199</v>
      </c>
      <c r="S7" s="2">
        <v>0.32827661449272599</v>
      </c>
    </row>
    <row r="8" spans="1:19" x14ac:dyDescent="0.2">
      <c r="A8" s="2" t="s">
        <v>46</v>
      </c>
      <c r="B8" s="2" t="s">
        <v>355</v>
      </c>
      <c r="C8" s="2" t="s">
        <v>356</v>
      </c>
      <c r="D8" s="2" t="str">
        <f t="shared" si="0"/>
        <v>"centrosome",</v>
      </c>
      <c r="E8" s="2" t="s">
        <v>394</v>
      </c>
      <c r="F8" s="2" t="s">
        <v>597</v>
      </c>
      <c r="G8" s="2" t="str">
        <f t="shared" si="1"/>
        <v>"#0da285",</v>
      </c>
      <c r="H8" s="2">
        <v>13</v>
      </c>
      <c r="I8" s="2">
        <v>2.4809160305343498</v>
      </c>
      <c r="J8" s="2">
        <v>9.3901074064151099E-3</v>
      </c>
      <c r="K8" s="7">
        <f t="shared" si="2"/>
        <v>2.0273294401357393</v>
      </c>
      <c r="L8" s="2" t="s">
        <v>167</v>
      </c>
      <c r="M8" s="2">
        <v>476</v>
      </c>
      <c r="N8" s="2">
        <v>265</v>
      </c>
      <c r="O8" s="2">
        <v>22986</v>
      </c>
      <c r="P8" s="2">
        <v>2.36893927382273</v>
      </c>
      <c r="Q8" s="2">
        <v>0.93330955449339004</v>
      </c>
      <c r="R8" s="2">
        <v>0.38499440366301901</v>
      </c>
      <c r="S8" s="2">
        <v>0.380970071917413</v>
      </c>
    </row>
    <row r="9" spans="1:19" x14ac:dyDescent="0.2">
      <c r="A9" t="s">
        <v>46</v>
      </c>
      <c r="B9" t="s">
        <v>619</v>
      </c>
      <c r="C9" t="s">
        <v>620</v>
      </c>
      <c r="D9" t="str">
        <f t="shared" si="0"/>
        <v>"monoatomic ion channel complex",</v>
      </c>
      <c r="E9" t="s">
        <v>394</v>
      </c>
      <c r="F9" t="s">
        <v>597</v>
      </c>
      <c r="G9" t="str">
        <f t="shared" si="1"/>
        <v>"#0da285",</v>
      </c>
      <c r="H9">
        <v>9</v>
      </c>
      <c r="I9">
        <v>1.7175572519083899</v>
      </c>
      <c r="J9">
        <v>1.34090306475587E-2</v>
      </c>
      <c r="K9" s="8">
        <f t="shared" si="2"/>
        <v>1.8726026166027341</v>
      </c>
      <c r="L9" t="s">
        <v>168</v>
      </c>
      <c r="M9">
        <v>476</v>
      </c>
      <c r="N9">
        <v>151</v>
      </c>
      <c r="O9">
        <v>22986</v>
      </c>
      <c r="P9">
        <v>2.8782069119038298</v>
      </c>
      <c r="Q9">
        <v>0.97923375385741396</v>
      </c>
      <c r="R9">
        <v>0.48104897448116901</v>
      </c>
      <c r="S9">
        <v>0.47602058798833502</v>
      </c>
    </row>
    <row r="10" spans="1:19" x14ac:dyDescent="0.2">
      <c r="A10" t="s">
        <v>46</v>
      </c>
      <c r="B10" t="s">
        <v>387</v>
      </c>
      <c r="C10" t="s">
        <v>388</v>
      </c>
      <c r="D10" t="str">
        <f t="shared" si="0"/>
        <v>"ciliary basal body",</v>
      </c>
      <c r="E10" t="s">
        <v>394</v>
      </c>
      <c r="F10" t="s">
        <v>597</v>
      </c>
      <c r="G10" t="str">
        <f t="shared" si="1"/>
        <v>"#0da285",</v>
      </c>
      <c r="H10">
        <v>6</v>
      </c>
      <c r="I10">
        <v>1.1450381679389301</v>
      </c>
      <c r="J10">
        <v>2.27327236933548E-2</v>
      </c>
      <c r="K10" s="8">
        <f t="shared" si="2"/>
        <v>1.64334852669788</v>
      </c>
      <c r="L10" t="s">
        <v>169</v>
      </c>
      <c r="M10">
        <v>476</v>
      </c>
      <c r="N10">
        <v>78</v>
      </c>
      <c r="O10">
        <v>22986</v>
      </c>
      <c r="P10">
        <v>3.71460892049127</v>
      </c>
      <c r="Q10">
        <v>0.99863907755973003</v>
      </c>
      <c r="R10">
        <v>0.72492129999920396</v>
      </c>
      <c r="S10">
        <v>0.717343725434752</v>
      </c>
    </row>
    <row r="11" spans="1:19" x14ac:dyDescent="0.2">
      <c r="A11" t="s">
        <v>46</v>
      </c>
      <c r="B11" t="s">
        <v>677</v>
      </c>
      <c r="C11" t="s">
        <v>678</v>
      </c>
      <c r="D11" t="str">
        <f t="shared" si="0"/>
        <v>"extracellular region",</v>
      </c>
      <c r="E11" t="s">
        <v>394</v>
      </c>
      <c r="F11" t="s">
        <v>597</v>
      </c>
      <c r="G11" t="str">
        <f t="shared" si="1"/>
        <v>"#0da285",</v>
      </c>
      <c r="H11">
        <v>34</v>
      </c>
      <c r="I11">
        <v>6.4885496183206097</v>
      </c>
      <c r="J11">
        <v>2.9440216027371399E-2</v>
      </c>
      <c r="K11" s="8">
        <f t="shared" si="2"/>
        <v>1.5310590075427208</v>
      </c>
      <c r="L11" t="s">
        <v>170</v>
      </c>
      <c r="M11">
        <v>476</v>
      </c>
      <c r="N11">
        <v>1131</v>
      </c>
      <c r="O11">
        <v>22986</v>
      </c>
      <c r="P11">
        <v>1.4516862447896901</v>
      </c>
      <c r="Q11">
        <v>0.99981146247830799</v>
      </c>
      <c r="R11">
        <v>0.83037194932153502</v>
      </c>
      <c r="S11">
        <v>0.82169210316137997</v>
      </c>
    </row>
    <row r="12" spans="1:19" x14ac:dyDescent="0.2">
      <c r="A12" t="s">
        <v>46</v>
      </c>
      <c r="B12" t="s">
        <v>679</v>
      </c>
      <c r="C12" t="s">
        <v>680</v>
      </c>
      <c r="D12" t="str">
        <f t="shared" si="0"/>
        <v>"basement membrane",</v>
      </c>
      <c r="E12" t="s">
        <v>394</v>
      </c>
      <c r="F12" t="s">
        <v>597</v>
      </c>
      <c r="G12" t="str">
        <f t="shared" si="1"/>
        <v>"#0da285",</v>
      </c>
      <c r="H12">
        <v>5</v>
      </c>
      <c r="I12">
        <v>0.95419847328244201</v>
      </c>
      <c r="J12">
        <v>3.1826102587236497E-2</v>
      </c>
      <c r="K12" s="8">
        <f t="shared" si="2"/>
        <v>1.4972165416646319</v>
      </c>
      <c r="L12" t="s">
        <v>171</v>
      </c>
      <c r="M12">
        <v>476</v>
      </c>
      <c r="N12">
        <v>58</v>
      </c>
      <c r="O12">
        <v>22986</v>
      </c>
      <c r="P12">
        <v>4.1629237902057303</v>
      </c>
      <c r="Q12">
        <v>0.99990697127327</v>
      </c>
      <c r="R12">
        <v>0.83037194932153502</v>
      </c>
      <c r="S12">
        <v>0.82169210316137997</v>
      </c>
    </row>
    <row r="13" spans="1:19" x14ac:dyDescent="0.2">
      <c r="A13" t="s">
        <v>46</v>
      </c>
      <c r="B13" t="s">
        <v>371</v>
      </c>
      <c r="C13" t="s">
        <v>372</v>
      </c>
      <c r="D13" t="str">
        <f t="shared" si="0"/>
        <v>"cell surface",</v>
      </c>
      <c r="E13" t="s">
        <v>394</v>
      </c>
      <c r="F13" t="s">
        <v>597</v>
      </c>
      <c r="G13" t="str">
        <f t="shared" si="1"/>
        <v>"#0da285",</v>
      </c>
      <c r="H13">
        <v>10</v>
      </c>
      <c r="I13">
        <v>1.90839694656488</v>
      </c>
      <c r="J13">
        <v>3.5968065052031303E-2</v>
      </c>
      <c r="K13" s="8">
        <f t="shared" si="2"/>
        <v>1.4440829249790612</v>
      </c>
      <c r="L13" t="s">
        <v>172</v>
      </c>
      <c r="M13">
        <v>476</v>
      </c>
      <c r="N13">
        <v>216</v>
      </c>
      <c r="O13">
        <v>22986</v>
      </c>
      <c r="P13">
        <v>2.23564425770308</v>
      </c>
      <c r="Q13">
        <v>0.99997282073164995</v>
      </c>
      <c r="R13">
        <v>0.860236222494417</v>
      </c>
      <c r="S13">
        <v>0.85124420623140895</v>
      </c>
    </row>
    <row r="14" spans="1:19" x14ac:dyDescent="0.2">
      <c r="A14" t="s">
        <v>46</v>
      </c>
      <c r="B14" t="s">
        <v>613</v>
      </c>
      <c r="C14" t="s">
        <v>614</v>
      </c>
      <c r="D14" t="str">
        <f t="shared" si="0"/>
        <v>"endoplasmic reticulum",</v>
      </c>
      <c r="E14" t="s">
        <v>394</v>
      </c>
      <c r="F14" t="s">
        <v>597</v>
      </c>
      <c r="G14" t="str">
        <f t="shared" si="1"/>
        <v>"#0da285",</v>
      </c>
      <c r="H14">
        <v>27</v>
      </c>
      <c r="I14">
        <v>5.1526717557251898</v>
      </c>
      <c r="J14">
        <v>3.9602671207794898E-2</v>
      </c>
      <c r="K14" s="8">
        <f t="shared" si="2"/>
        <v>1.4022755198401371</v>
      </c>
      <c r="L14" t="s">
        <v>173</v>
      </c>
      <c r="M14">
        <v>476</v>
      </c>
      <c r="N14">
        <v>871</v>
      </c>
      <c r="O14">
        <v>22986</v>
      </c>
      <c r="P14">
        <v>1.4969319530337899</v>
      </c>
      <c r="Q14">
        <v>0.99999080777232197</v>
      </c>
      <c r="R14">
        <v>0.87430512589516596</v>
      </c>
      <c r="S14">
        <v>0.86516604792413598</v>
      </c>
    </row>
    <row r="15" spans="1:19" x14ac:dyDescent="0.2">
      <c r="A15" s="5" t="s">
        <v>46</v>
      </c>
      <c r="B15" s="5" t="s">
        <v>369</v>
      </c>
      <c r="C15" s="5" t="s">
        <v>370</v>
      </c>
      <c r="D15" s="5" t="str">
        <f t="shared" si="0"/>
        <v>"postsynaptic density membrane",</v>
      </c>
      <c r="E15" s="5" t="s">
        <v>394</v>
      </c>
      <c r="F15" s="5" t="s">
        <v>597</v>
      </c>
      <c r="G15" s="5" t="str">
        <f t="shared" si="1"/>
        <v>"#0da285",</v>
      </c>
      <c r="H15" s="5">
        <v>5</v>
      </c>
      <c r="I15" s="5">
        <v>0.95419847328244201</v>
      </c>
      <c r="J15" s="5">
        <v>5.4499536074680201E-2</v>
      </c>
      <c r="K15" s="9">
        <f t="shared" si="2"/>
        <v>1.2636071946236136</v>
      </c>
      <c r="L15" s="5" t="s">
        <v>174</v>
      </c>
      <c r="M15" s="5">
        <v>476</v>
      </c>
      <c r="N15" s="5">
        <v>69</v>
      </c>
      <c r="O15" s="5">
        <v>22986</v>
      </c>
      <c r="P15" s="5">
        <v>3.49926927292656</v>
      </c>
      <c r="Q15" s="5">
        <v>0.999999896504568</v>
      </c>
      <c r="R15" s="5">
        <v>1</v>
      </c>
      <c r="S15" s="5">
        <v>0.99300699300699302</v>
      </c>
    </row>
    <row r="16" spans="1:19" x14ac:dyDescent="0.2">
      <c r="A16" s="5" t="s">
        <v>46</v>
      </c>
      <c r="B16" s="5" t="s">
        <v>379</v>
      </c>
      <c r="C16" s="5" t="s">
        <v>380</v>
      </c>
      <c r="D16" s="5" t="str">
        <f t="shared" si="0"/>
        <v>"lysosomal membrane",</v>
      </c>
      <c r="E16" s="5" t="s">
        <v>394</v>
      </c>
      <c r="F16" s="5" t="s">
        <v>597</v>
      </c>
      <c r="G16" s="5" t="str">
        <f t="shared" si="1"/>
        <v>"#0da285",</v>
      </c>
      <c r="H16" s="5">
        <v>8</v>
      </c>
      <c r="I16" s="5">
        <v>1.5267175572519001</v>
      </c>
      <c r="J16" s="5">
        <v>6.3563314312596195E-2</v>
      </c>
      <c r="K16" s="9">
        <f t="shared" si="2"/>
        <v>1.1967934659305963</v>
      </c>
      <c r="L16" s="5" t="s">
        <v>175</v>
      </c>
      <c r="M16" s="5">
        <v>476</v>
      </c>
      <c r="N16" s="5">
        <v>170</v>
      </c>
      <c r="O16" s="5">
        <v>22986</v>
      </c>
      <c r="P16" s="5">
        <v>2.2724666337123001</v>
      </c>
      <c r="Q16" s="5">
        <v>0.99999999347911805</v>
      </c>
      <c r="R16" s="5">
        <v>1</v>
      </c>
      <c r="S16" s="5">
        <v>0.99300699300699302</v>
      </c>
    </row>
    <row r="17" spans="1:19" x14ac:dyDescent="0.2">
      <c r="A17" s="5" t="s">
        <v>46</v>
      </c>
      <c r="B17" s="5" t="s">
        <v>681</v>
      </c>
      <c r="C17" s="5" t="s">
        <v>682</v>
      </c>
      <c r="D17" s="5" t="str">
        <f t="shared" si="0"/>
        <v>"ciliary transition zone",</v>
      </c>
      <c r="E17" s="5" t="s">
        <v>394</v>
      </c>
      <c r="F17" s="5" t="s">
        <v>597</v>
      </c>
      <c r="G17" s="5" t="str">
        <f t="shared" si="1"/>
        <v>"#0da285",</v>
      </c>
      <c r="H17" s="5">
        <v>3</v>
      </c>
      <c r="I17" s="5">
        <v>0.57251908396946505</v>
      </c>
      <c r="J17" s="5">
        <v>7.5019727123272595E-2</v>
      </c>
      <c r="K17" s="9">
        <f t="shared" si="2"/>
        <v>1.1248245198850093</v>
      </c>
      <c r="L17" s="5" t="s">
        <v>176</v>
      </c>
      <c r="M17" s="5">
        <v>476</v>
      </c>
      <c r="N17" s="5">
        <v>22</v>
      </c>
      <c r="O17" s="5">
        <v>22986</v>
      </c>
      <c r="P17" s="5">
        <v>6.5849885408708904</v>
      </c>
      <c r="Q17" s="5">
        <v>0.99999999980944498</v>
      </c>
      <c r="R17" s="5">
        <v>1</v>
      </c>
      <c r="S17" s="5">
        <v>0.99300699300699302</v>
      </c>
    </row>
    <row r="18" spans="1:19" x14ac:dyDescent="0.2">
      <c r="A18" s="5" t="s">
        <v>46</v>
      </c>
      <c r="B18" s="5" t="s">
        <v>623</v>
      </c>
      <c r="C18" s="5" t="s">
        <v>624</v>
      </c>
      <c r="D18" s="5" t="str">
        <f t="shared" si="0"/>
        <v>"anchoring junction",</v>
      </c>
      <c r="E18" s="5" t="s">
        <v>394</v>
      </c>
      <c r="F18" s="5" t="s">
        <v>597</v>
      </c>
      <c r="G18" s="5" t="str">
        <f t="shared" si="1"/>
        <v>"#0da285",</v>
      </c>
      <c r="H18" s="5">
        <v>9</v>
      </c>
      <c r="I18" s="5">
        <v>1.7175572519083899</v>
      </c>
      <c r="J18" s="5">
        <v>7.5105994631562201E-2</v>
      </c>
      <c r="K18" s="9">
        <f t="shared" si="2"/>
        <v>1.1243253981288763</v>
      </c>
      <c r="L18" s="5" t="s">
        <v>177</v>
      </c>
      <c r="M18" s="5">
        <v>476</v>
      </c>
      <c r="N18" s="5">
        <v>213</v>
      </c>
      <c r="O18" s="5">
        <v>22986</v>
      </c>
      <c r="P18" s="5">
        <v>2.0404189844951999</v>
      </c>
      <c r="Q18" s="5">
        <v>0.99999999981447796</v>
      </c>
      <c r="R18" s="5">
        <v>1</v>
      </c>
      <c r="S18" s="5">
        <v>0.99300699300699302</v>
      </c>
    </row>
    <row r="19" spans="1:19" x14ac:dyDescent="0.2">
      <c r="A19" s="5" t="s">
        <v>46</v>
      </c>
      <c r="B19" s="5" t="s">
        <v>615</v>
      </c>
      <c r="C19" s="5" t="s">
        <v>616</v>
      </c>
      <c r="D19" s="5" t="str">
        <f t="shared" si="0"/>
        <v>"transcription regulator complex",</v>
      </c>
      <c r="E19" s="5" t="s">
        <v>394</v>
      </c>
      <c r="F19" s="5" t="s">
        <v>597</v>
      </c>
      <c r="G19" s="5" t="str">
        <f t="shared" si="1"/>
        <v>"#0da285",</v>
      </c>
      <c r="H19" s="5">
        <v>9</v>
      </c>
      <c r="I19" s="5">
        <v>1.7175572519083899</v>
      </c>
      <c r="J19" s="5">
        <v>7.6571948298959996E-2</v>
      </c>
      <c r="K19" s="9">
        <f t="shared" si="2"/>
        <v>1.1159303025635934</v>
      </c>
      <c r="L19" s="5" t="s">
        <v>178</v>
      </c>
      <c r="M19" s="5">
        <v>476</v>
      </c>
      <c r="N19" s="5">
        <v>214</v>
      </c>
      <c r="O19" s="5">
        <v>22986</v>
      </c>
      <c r="P19" s="5">
        <v>2.0308843163433501</v>
      </c>
      <c r="Q19" s="5">
        <v>0.99999999988232602</v>
      </c>
      <c r="R19" s="5">
        <v>1</v>
      </c>
      <c r="S19" s="5">
        <v>0.99300699300699302</v>
      </c>
    </row>
    <row r="20" spans="1:19" x14ac:dyDescent="0.2">
      <c r="A20" s="5" t="s">
        <v>46</v>
      </c>
      <c r="B20" s="5" t="s">
        <v>365</v>
      </c>
      <c r="C20" s="5" t="s">
        <v>366</v>
      </c>
      <c r="D20" s="5" t="str">
        <f t="shared" si="0"/>
        <v>"insulin receptor complex",</v>
      </c>
      <c r="E20" s="5" t="s">
        <v>394</v>
      </c>
      <c r="F20" s="5" t="s">
        <v>597</v>
      </c>
      <c r="G20" s="5" t="str">
        <f t="shared" si="1"/>
        <v>"#0da285",</v>
      </c>
      <c r="H20" s="5">
        <v>2</v>
      </c>
      <c r="I20" s="5">
        <v>0.38167938931297701</v>
      </c>
      <c r="J20" s="5">
        <v>8.0137000605307707E-2</v>
      </c>
      <c r="K20" s="9">
        <f t="shared" si="2"/>
        <v>1.096166916519504</v>
      </c>
      <c r="L20" s="5" t="s">
        <v>53</v>
      </c>
      <c r="M20" s="5">
        <v>476</v>
      </c>
      <c r="N20" s="5">
        <v>4</v>
      </c>
      <c r="O20" s="5">
        <v>22986</v>
      </c>
      <c r="P20" s="5">
        <v>24.144957983193201</v>
      </c>
      <c r="Q20" s="5">
        <v>0.99999999996122502</v>
      </c>
      <c r="R20" s="5">
        <v>1</v>
      </c>
      <c r="S20" s="5">
        <v>0.99300699300699302</v>
      </c>
    </row>
    <row r="21" spans="1:19" x14ac:dyDescent="0.2">
      <c r="A21" s="5" t="s">
        <v>46</v>
      </c>
      <c r="B21" s="5" t="s">
        <v>617</v>
      </c>
      <c r="C21" s="5" t="s">
        <v>618</v>
      </c>
      <c r="D21" s="5" t="str">
        <f t="shared" si="0"/>
        <v>"endomembrane system",</v>
      </c>
      <c r="E21" s="5" t="s">
        <v>394</v>
      </c>
      <c r="F21" s="5" t="s">
        <v>597</v>
      </c>
      <c r="G21" s="5" t="str">
        <f t="shared" si="1"/>
        <v>"#0da285",</v>
      </c>
      <c r="H21" s="5">
        <v>7</v>
      </c>
      <c r="I21" s="5">
        <v>1.33587786259541</v>
      </c>
      <c r="J21" s="5">
        <v>8.7131515490181694E-2</v>
      </c>
      <c r="K21" s="9">
        <f t="shared" si="2"/>
        <v>1.0598247321578287</v>
      </c>
      <c r="L21" s="5" t="s">
        <v>179</v>
      </c>
      <c r="M21" s="5">
        <v>476</v>
      </c>
      <c r="N21" s="5">
        <v>148</v>
      </c>
      <c r="O21" s="5">
        <v>22986</v>
      </c>
      <c r="P21" s="5">
        <v>2.2839825119236798</v>
      </c>
      <c r="Q21" s="5">
        <v>0.99999999999566302</v>
      </c>
      <c r="R21" s="5">
        <v>1</v>
      </c>
      <c r="S21" s="5">
        <v>0.99300699300699302</v>
      </c>
    </row>
    <row r="22" spans="1:19" x14ac:dyDescent="0.2">
      <c r="A22" s="5" t="s">
        <v>46</v>
      </c>
      <c r="B22" s="5" t="s">
        <v>361</v>
      </c>
      <c r="C22" s="5" t="s">
        <v>362</v>
      </c>
      <c r="D22" s="5" t="str">
        <f t="shared" si="0"/>
        <v>"cytoplasmic side of plasma membrane",</v>
      </c>
      <c r="E22" s="5" t="s">
        <v>394</v>
      </c>
      <c r="F22" s="5" t="s">
        <v>597</v>
      </c>
      <c r="G22" s="5" t="str">
        <f t="shared" si="1"/>
        <v>"#0da285",</v>
      </c>
      <c r="H22" s="5">
        <v>3</v>
      </c>
      <c r="I22" s="5">
        <v>0.57251908396946505</v>
      </c>
      <c r="J22" s="5">
        <v>8.7278564701103595E-2</v>
      </c>
      <c r="K22" s="9">
        <f t="shared" si="2"/>
        <v>1.0590924043481746</v>
      </c>
      <c r="L22" s="5" t="s">
        <v>52</v>
      </c>
      <c r="M22" s="5">
        <v>476</v>
      </c>
      <c r="N22" s="5">
        <v>24</v>
      </c>
      <c r="O22" s="5">
        <v>22986</v>
      </c>
      <c r="P22" s="5">
        <v>6.0362394957983101</v>
      </c>
      <c r="Q22" s="5">
        <v>0.99999999999585898</v>
      </c>
      <c r="R22" s="5">
        <v>1</v>
      </c>
      <c r="S22" s="5">
        <v>0.99300699300699302</v>
      </c>
    </row>
    <row r="23" spans="1:19" x14ac:dyDescent="0.2">
      <c r="A23" s="5" t="s">
        <v>46</v>
      </c>
      <c r="B23" s="5" t="s">
        <v>375</v>
      </c>
      <c r="C23" s="5" t="s">
        <v>376</v>
      </c>
      <c r="D23" s="5" t="str">
        <f t="shared" si="0"/>
        <v>"synapse",</v>
      </c>
      <c r="E23" s="5" t="s">
        <v>394</v>
      </c>
      <c r="F23" s="5" t="s">
        <v>597</v>
      </c>
      <c r="G23" s="5" t="str">
        <f t="shared" si="1"/>
        <v>"#0da285",</v>
      </c>
      <c r="H23" s="5">
        <v>16</v>
      </c>
      <c r="I23" s="5">
        <v>3.0534351145038099</v>
      </c>
      <c r="J23" s="5">
        <v>9.41102039305933E-2</v>
      </c>
      <c r="K23" s="9">
        <f t="shared" si="2"/>
        <v>1.026363285494128</v>
      </c>
      <c r="L23" s="5" t="s">
        <v>180</v>
      </c>
      <c r="M23" s="5">
        <v>476</v>
      </c>
      <c r="N23" s="5">
        <v>497</v>
      </c>
      <c r="O23" s="5">
        <v>22986</v>
      </c>
      <c r="P23" s="5">
        <v>1.55460494056777</v>
      </c>
      <c r="Q23" s="5">
        <v>0.99999999999952005</v>
      </c>
      <c r="R23" s="5">
        <v>1</v>
      </c>
      <c r="S23" s="5">
        <v>0.99300699300699302</v>
      </c>
    </row>
    <row r="24" spans="1:19" x14ac:dyDescent="0.2">
      <c r="A24" s="5" t="s">
        <v>46</v>
      </c>
      <c r="B24" s="5" t="s">
        <v>383</v>
      </c>
      <c r="C24" s="5" t="s">
        <v>384</v>
      </c>
      <c r="D24" s="5" t="str">
        <f t="shared" si="0"/>
        <v>"collagen-containing extracellular matrix",</v>
      </c>
      <c r="E24" s="5" t="s">
        <v>394</v>
      </c>
      <c r="F24" s="5" t="s">
        <v>597</v>
      </c>
      <c r="G24" s="5" t="str">
        <f t="shared" si="1"/>
        <v>"#0da285",</v>
      </c>
      <c r="H24" s="5">
        <v>9</v>
      </c>
      <c r="I24" s="5">
        <v>1.7175572519083899</v>
      </c>
      <c r="J24" s="5">
        <v>9.5459318317692804E-2</v>
      </c>
      <c r="K24" s="9">
        <f t="shared" si="2"/>
        <v>1.0201816712888769</v>
      </c>
      <c r="L24" s="5" t="s">
        <v>181</v>
      </c>
      <c r="M24" s="5">
        <v>476</v>
      </c>
      <c r="N24" s="5">
        <v>225</v>
      </c>
      <c r="O24" s="5">
        <v>22986</v>
      </c>
      <c r="P24" s="5">
        <v>1.9315966386554599</v>
      </c>
      <c r="Q24" s="5">
        <v>0.99999999999968703</v>
      </c>
      <c r="R24" s="5">
        <v>1</v>
      </c>
      <c r="S24" s="5">
        <v>0.99300699300699302</v>
      </c>
    </row>
    <row r="25" spans="1:19" x14ac:dyDescent="0.2">
      <c r="A25" s="5" t="s">
        <v>46</v>
      </c>
      <c r="B25" s="5" t="s">
        <v>367</v>
      </c>
      <c r="C25" s="5" t="s">
        <v>368</v>
      </c>
      <c r="D25" s="5" t="str">
        <f t="shared" si="0"/>
        <v>"clathrin-coated endocytic vesicle",</v>
      </c>
      <c r="E25" s="5" t="s">
        <v>394</v>
      </c>
      <c r="F25" s="5" t="s">
        <v>597</v>
      </c>
      <c r="G25" s="5" t="str">
        <f t="shared" si="1"/>
        <v>"#0da285",</v>
      </c>
      <c r="H25" s="5">
        <v>2</v>
      </c>
      <c r="I25" s="5">
        <v>0.38167938931297701</v>
      </c>
      <c r="J25" s="5">
        <v>9.9149050245981404E-2</v>
      </c>
      <c r="K25" s="9">
        <f t="shared" si="2"/>
        <v>1.0037114415686632</v>
      </c>
      <c r="L25" s="5" t="s">
        <v>54</v>
      </c>
      <c r="M25" s="5">
        <v>476</v>
      </c>
      <c r="N25" s="5">
        <v>5</v>
      </c>
      <c r="O25" s="5">
        <v>22986</v>
      </c>
      <c r="P25" s="5">
        <v>19.315966386554599</v>
      </c>
      <c r="Q25" s="5">
        <v>0.99999999999990297</v>
      </c>
      <c r="R25" s="5">
        <v>1</v>
      </c>
      <c r="S25" s="5">
        <v>0.99300699300699302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00AA-0C49-184B-9B46-E2E19CB7D4CC}">
  <dimension ref="A1:S30"/>
  <sheetViews>
    <sheetView workbookViewId="0">
      <selection activeCell="K1" sqref="K1:K2"/>
    </sheetView>
  </sheetViews>
  <sheetFormatPr baseColWidth="10" defaultRowHeight="16" x14ac:dyDescent="0.2"/>
  <cols>
    <col min="1" max="1" width="19.33203125" bestFit="1" customWidth="1"/>
    <col min="2" max="2" width="11.33203125" bestFit="1" customWidth="1"/>
    <col min="3" max="3" width="93.5" bestFit="1" customWidth="1"/>
    <col min="4" max="4" width="95.83203125" bestFit="1" customWidth="1"/>
    <col min="5" max="5" width="17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67</v>
      </c>
      <c r="B2" s="2" t="s">
        <v>300</v>
      </c>
      <c r="C2" s="2" t="s">
        <v>301</v>
      </c>
      <c r="D2" s="2" t="str">
        <f>CHAR(34)&amp;C2&amp;CHAR(34)&amp;","</f>
        <v>"ATP binding",</v>
      </c>
      <c r="E2" s="2" t="s">
        <v>393</v>
      </c>
      <c r="F2" s="2" t="s">
        <v>598</v>
      </c>
      <c r="G2" s="2" t="str">
        <f>CHAR(34)&amp;F2&amp;CHAR(34)&amp;","</f>
        <v>"#2c72ae",</v>
      </c>
      <c r="H2" s="2">
        <v>60</v>
      </c>
      <c r="I2" s="2">
        <v>11.450381679389301</v>
      </c>
      <c r="J2" s="2">
        <v>1.2254437064724E-3</v>
      </c>
      <c r="K2" s="7">
        <f>-(LOG(J2))</f>
        <v>2.9117066342527287</v>
      </c>
      <c r="L2" s="2" t="s">
        <v>182</v>
      </c>
      <c r="M2" s="2">
        <v>448</v>
      </c>
      <c r="N2" s="2">
        <v>1921</v>
      </c>
      <c r="O2" s="2">
        <v>21736</v>
      </c>
      <c r="P2" s="2">
        <v>1.51539376812671</v>
      </c>
      <c r="Q2" s="2">
        <v>0.44895062047174999</v>
      </c>
      <c r="R2" s="2">
        <v>0.27950853954182198</v>
      </c>
      <c r="S2" s="2">
        <v>0.27893341909009001</v>
      </c>
    </row>
    <row r="3" spans="1:19" x14ac:dyDescent="0.2">
      <c r="A3" s="2" t="s">
        <v>67</v>
      </c>
      <c r="B3" s="2" t="s">
        <v>308</v>
      </c>
      <c r="C3" s="2" t="s">
        <v>309</v>
      </c>
      <c r="D3" s="2" t="str">
        <f t="shared" ref="D3:D30" si="0">CHAR(34)&amp;C3&amp;CHAR(34)&amp;","</f>
        <v>"nucleotide binding",</v>
      </c>
      <c r="E3" s="2" t="s">
        <v>393</v>
      </c>
      <c r="F3" s="2" t="s">
        <v>598</v>
      </c>
      <c r="G3" s="2" t="str">
        <f t="shared" ref="G3:G30" si="1">CHAR(34)&amp;F3&amp;CHAR(34)&amp;","</f>
        <v>"#2c72ae",</v>
      </c>
      <c r="H3" s="2">
        <v>60</v>
      </c>
      <c r="I3" s="2">
        <v>11.450381679389301</v>
      </c>
      <c r="J3" s="2">
        <v>1.3278532620634299E-3</v>
      </c>
      <c r="K3" s="7">
        <f t="shared" ref="K3:K30" si="2">-(LOG(J3))</f>
        <v>2.8768499151767326</v>
      </c>
      <c r="L3" s="2" t="s">
        <v>183</v>
      </c>
      <c r="M3" s="2">
        <v>448</v>
      </c>
      <c r="N3" s="2">
        <v>1927</v>
      </c>
      <c r="O3" s="2">
        <v>21736</v>
      </c>
      <c r="P3" s="2">
        <v>1.5106753651123099</v>
      </c>
      <c r="Q3" s="2">
        <v>0.47573894451876902</v>
      </c>
      <c r="R3" s="2">
        <v>0.27950853954182198</v>
      </c>
      <c r="S3" s="2">
        <v>0.27893341909009001</v>
      </c>
    </row>
    <row r="4" spans="1:19" x14ac:dyDescent="0.2">
      <c r="A4" s="2" t="s">
        <v>67</v>
      </c>
      <c r="B4" s="2" t="s">
        <v>316</v>
      </c>
      <c r="C4" s="2" t="s">
        <v>317</v>
      </c>
      <c r="D4" s="2" t="str">
        <f t="shared" si="0"/>
        <v>"monoatomic ion channel activity",</v>
      </c>
      <c r="E4" s="2" t="s">
        <v>393</v>
      </c>
      <c r="F4" s="2" t="s">
        <v>598</v>
      </c>
      <c r="G4" s="2" t="str">
        <f t="shared" si="1"/>
        <v>"#2c72ae",</v>
      </c>
      <c r="H4" s="2">
        <v>13</v>
      </c>
      <c r="I4" s="2">
        <v>2.4809160305343498</v>
      </c>
      <c r="J4" s="2">
        <v>1.7253613551964299E-3</v>
      </c>
      <c r="K4" s="7">
        <f t="shared" si="2"/>
        <v>2.7631199335572663</v>
      </c>
      <c r="L4" s="2" t="s">
        <v>184</v>
      </c>
      <c r="M4" s="2">
        <v>448</v>
      </c>
      <c r="N4" s="2">
        <v>215</v>
      </c>
      <c r="O4" s="2">
        <v>21736</v>
      </c>
      <c r="P4" s="2">
        <v>2.93363787375415</v>
      </c>
      <c r="Q4" s="2">
        <v>0.56796549948067399</v>
      </c>
      <c r="R4" s="2">
        <v>0.27950853954182198</v>
      </c>
      <c r="S4" s="2">
        <v>0.27893341909009001</v>
      </c>
    </row>
    <row r="5" spans="1:19" x14ac:dyDescent="0.2">
      <c r="A5" s="2" t="s">
        <v>67</v>
      </c>
      <c r="B5" s="2" t="s">
        <v>320</v>
      </c>
      <c r="C5" s="2" t="s">
        <v>321</v>
      </c>
      <c r="D5" s="2" t="str">
        <f t="shared" si="0"/>
        <v>"voltage-gated calcium channel activity",</v>
      </c>
      <c r="E5" s="2" t="s">
        <v>393</v>
      </c>
      <c r="F5" s="2" t="s">
        <v>598</v>
      </c>
      <c r="G5" s="2" t="str">
        <f t="shared" si="1"/>
        <v>"#2c72ae",</v>
      </c>
      <c r="H5" s="2">
        <v>6</v>
      </c>
      <c r="I5" s="2">
        <v>1.1450381679389301</v>
      </c>
      <c r="J5" s="2">
        <v>3.8832239706690298E-3</v>
      </c>
      <c r="K5" s="7">
        <f t="shared" si="2"/>
        <v>2.4108075601568779</v>
      </c>
      <c r="L5" s="2" t="s">
        <v>185</v>
      </c>
      <c r="M5" s="2">
        <v>448</v>
      </c>
      <c r="N5" s="2">
        <v>51</v>
      </c>
      <c r="O5" s="2">
        <v>21736</v>
      </c>
      <c r="P5" s="2">
        <v>5.7079831932773102</v>
      </c>
      <c r="Q5" s="2">
        <v>0.84906721364834603</v>
      </c>
      <c r="R5" s="2">
        <v>0.29963122563244599</v>
      </c>
      <c r="S5" s="2">
        <v>0.29901470047682399</v>
      </c>
    </row>
    <row r="6" spans="1:19" x14ac:dyDescent="0.2">
      <c r="A6" s="2" t="s">
        <v>67</v>
      </c>
      <c r="B6" s="2" t="s">
        <v>310</v>
      </c>
      <c r="C6" s="2" t="s">
        <v>311</v>
      </c>
      <c r="D6" s="2" t="str">
        <f t="shared" si="0"/>
        <v>"fibroblast growth factor binding",</v>
      </c>
      <c r="E6" s="2" t="s">
        <v>393</v>
      </c>
      <c r="F6" s="2" t="s">
        <v>598</v>
      </c>
      <c r="G6" s="2" t="str">
        <f t="shared" si="1"/>
        <v>"#2c72ae",</v>
      </c>
      <c r="H6" s="2">
        <v>4</v>
      </c>
      <c r="I6" s="2">
        <v>0.76335877862595403</v>
      </c>
      <c r="J6" s="2">
        <v>3.9634139202615101E-3</v>
      </c>
      <c r="K6" s="7">
        <f t="shared" si="2"/>
        <v>2.4019305696293785</v>
      </c>
      <c r="L6" s="2" t="s">
        <v>112</v>
      </c>
      <c r="M6" s="2">
        <v>448</v>
      </c>
      <c r="N6" s="2">
        <v>16</v>
      </c>
      <c r="O6" s="2">
        <v>21736</v>
      </c>
      <c r="P6" s="2">
        <v>12.129464285714199</v>
      </c>
      <c r="Q6" s="2">
        <v>0.85485854833427999</v>
      </c>
      <c r="R6" s="2">
        <v>0.29963122563244599</v>
      </c>
      <c r="S6" s="2">
        <v>0.29901470047682399</v>
      </c>
    </row>
    <row r="7" spans="1:19" x14ac:dyDescent="0.2">
      <c r="A7" s="2" t="s">
        <v>67</v>
      </c>
      <c r="B7" s="2" t="s">
        <v>338</v>
      </c>
      <c r="C7" s="2" t="s">
        <v>339</v>
      </c>
      <c r="D7" s="2" t="str">
        <f t="shared" si="0"/>
        <v>"kinase activity",</v>
      </c>
      <c r="E7" s="2" t="s">
        <v>393</v>
      </c>
      <c r="F7" s="2" t="s">
        <v>598</v>
      </c>
      <c r="G7" s="2" t="str">
        <f t="shared" si="1"/>
        <v>"#2c72ae",</v>
      </c>
      <c r="H7" s="2">
        <v>34</v>
      </c>
      <c r="I7" s="2">
        <v>6.4885496183206097</v>
      </c>
      <c r="J7" s="2">
        <v>4.2027863420717399E-3</v>
      </c>
      <c r="K7" s="7">
        <f t="shared" si="2"/>
        <v>2.3764626877527886</v>
      </c>
      <c r="L7" s="2" t="s">
        <v>186</v>
      </c>
      <c r="M7" s="2">
        <v>448</v>
      </c>
      <c r="N7" s="2">
        <v>984</v>
      </c>
      <c r="O7" s="2">
        <v>21736</v>
      </c>
      <c r="P7" s="2">
        <v>1.6764300232288001</v>
      </c>
      <c r="Q7" s="2">
        <v>0.87086003151348301</v>
      </c>
      <c r="R7" s="2">
        <v>0.29963122563244599</v>
      </c>
      <c r="S7" s="2">
        <v>0.29901470047682399</v>
      </c>
    </row>
    <row r="8" spans="1:19" x14ac:dyDescent="0.2">
      <c r="A8" s="2" t="s">
        <v>67</v>
      </c>
      <c r="B8" s="2" t="s">
        <v>324</v>
      </c>
      <c r="C8" s="2" t="s">
        <v>325</v>
      </c>
      <c r="D8" s="2" t="str">
        <f t="shared" si="0"/>
        <v>"calcium ion binding",</v>
      </c>
      <c r="E8" s="2" t="s">
        <v>393</v>
      </c>
      <c r="F8" s="2" t="s">
        <v>598</v>
      </c>
      <c r="G8" s="2" t="str">
        <f t="shared" si="1"/>
        <v>"#2c72ae",</v>
      </c>
      <c r="H8" s="2">
        <v>29</v>
      </c>
      <c r="I8" s="2">
        <v>5.5343511450381602</v>
      </c>
      <c r="J8" s="2">
        <v>4.3156760893562204E-3</v>
      </c>
      <c r="K8" s="7">
        <f t="shared" si="2"/>
        <v>2.3649511584942573</v>
      </c>
      <c r="L8" s="2" t="s">
        <v>187</v>
      </c>
      <c r="M8" s="2">
        <v>448</v>
      </c>
      <c r="N8" s="2">
        <v>796</v>
      </c>
      <c r="O8" s="2">
        <v>21736</v>
      </c>
      <c r="P8" s="2">
        <v>1.7676103732950399</v>
      </c>
      <c r="Q8" s="2">
        <v>0.87778304975761001</v>
      </c>
      <c r="R8" s="2">
        <v>0.29963122563244599</v>
      </c>
      <c r="S8" s="2">
        <v>0.29901470047682399</v>
      </c>
    </row>
    <row r="9" spans="1:19" x14ac:dyDescent="0.2">
      <c r="A9" t="s">
        <v>67</v>
      </c>
      <c r="B9" t="s">
        <v>312</v>
      </c>
      <c r="C9" t="s">
        <v>313</v>
      </c>
      <c r="D9" t="str">
        <f t="shared" si="0"/>
        <v>"hydrolase activity",</v>
      </c>
      <c r="E9" t="s">
        <v>393</v>
      </c>
      <c r="F9" t="s">
        <v>598</v>
      </c>
      <c r="G9" t="str">
        <f t="shared" si="1"/>
        <v>"#2c72ae",</v>
      </c>
      <c r="H9">
        <v>45</v>
      </c>
      <c r="I9">
        <v>8.5877862595419803</v>
      </c>
      <c r="J9">
        <v>1.28306681808644E-2</v>
      </c>
      <c r="K9" s="8">
        <f t="shared" si="2"/>
        <v>1.8917507263447777</v>
      </c>
      <c r="L9" t="s">
        <v>188</v>
      </c>
      <c r="M9">
        <v>448</v>
      </c>
      <c r="N9">
        <v>1512</v>
      </c>
      <c r="O9">
        <v>21736</v>
      </c>
      <c r="P9">
        <v>1.4439838435374099</v>
      </c>
      <c r="Q9">
        <v>0.99811919307455998</v>
      </c>
      <c r="R9">
        <v>0.77946309198751595</v>
      </c>
      <c r="S9">
        <v>0.777859258464908</v>
      </c>
    </row>
    <row r="10" spans="1:19" x14ac:dyDescent="0.2">
      <c r="A10" t="s">
        <v>67</v>
      </c>
      <c r="B10" t="s">
        <v>631</v>
      </c>
      <c r="C10" t="s">
        <v>632</v>
      </c>
      <c r="D10" t="str">
        <f t="shared" si="0"/>
        <v>"guanyl-nucleotide exchange factor activity",</v>
      </c>
      <c r="E10" t="s">
        <v>393</v>
      </c>
      <c r="F10" t="s">
        <v>598</v>
      </c>
      <c r="G10" t="str">
        <f t="shared" si="1"/>
        <v>"#2c72ae",</v>
      </c>
      <c r="H10">
        <v>12</v>
      </c>
      <c r="I10">
        <v>2.2900763358778602</v>
      </c>
      <c r="J10">
        <v>1.6915248213868899E-2</v>
      </c>
      <c r="K10" s="8">
        <f t="shared" si="2"/>
        <v>1.7717216250044263</v>
      </c>
      <c r="L10" t="s">
        <v>189</v>
      </c>
      <c r="M10">
        <v>448</v>
      </c>
      <c r="N10">
        <v>255</v>
      </c>
      <c r="O10">
        <v>21736</v>
      </c>
      <c r="P10">
        <v>2.2831932773109198</v>
      </c>
      <c r="Q10">
        <v>0.99974926985159096</v>
      </c>
      <c r="R10">
        <v>0.84336344362535198</v>
      </c>
      <c r="S10">
        <v>0.84162812789772801</v>
      </c>
    </row>
    <row r="11" spans="1:19" x14ac:dyDescent="0.2">
      <c r="A11" t="s">
        <v>67</v>
      </c>
      <c r="B11" t="s">
        <v>629</v>
      </c>
      <c r="C11" t="s">
        <v>630</v>
      </c>
      <c r="D11" t="str">
        <f t="shared" si="0"/>
        <v>"protein kinase activity",</v>
      </c>
      <c r="E11" t="s">
        <v>393</v>
      </c>
      <c r="F11" t="s">
        <v>598</v>
      </c>
      <c r="G11" t="str">
        <f t="shared" si="1"/>
        <v>"#2c72ae",</v>
      </c>
      <c r="H11">
        <v>24</v>
      </c>
      <c r="I11">
        <v>4.5801526717557204</v>
      </c>
      <c r="J11">
        <v>1.8471020726788499E-2</v>
      </c>
      <c r="K11" s="8">
        <f t="shared" si="2"/>
        <v>1.7335091043560193</v>
      </c>
      <c r="L11" t="s">
        <v>190</v>
      </c>
      <c r="M11">
        <v>448</v>
      </c>
      <c r="N11">
        <v>697</v>
      </c>
      <c r="O11">
        <v>21736</v>
      </c>
      <c r="P11">
        <v>1.67062922730067</v>
      </c>
      <c r="Q11">
        <v>0.99988387666981704</v>
      </c>
      <c r="R11">
        <v>0.84336344362535198</v>
      </c>
      <c r="S11">
        <v>0.84162812789772801</v>
      </c>
    </row>
    <row r="12" spans="1:19" x14ac:dyDescent="0.2">
      <c r="A12" t="s">
        <v>67</v>
      </c>
      <c r="B12" t="s">
        <v>683</v>
      </c>
      <c r="C12" t="s">
        <v>684</v>
      </c>
      <c r="D12" t="str">
        <f t="shared" si="0"/>
        <v>"cadherin binding",</v>
      </c>
      <c r="E12" t="s">
        <v>393</v>
      </c>
      <c r="F12" t="s">
        <v>598</v>
      </c>
      <c r="G12" t="str">
        <f t="shared" si="1"/>
        <v>"#2c72ae",</v>
      </c>
      <c r="H12">
        <v>7</v>
      </c>
      <c r="I12">
        <v>1.33587786259541</v>
      </c>
      <c r="J12">
        <v>1.9669740001392998E-2</v>
      </c>
      <c r="K12" s="8">
        <f t="shared" si="2"/>
        <v>1.7062013806351419</v>
      </c>
      <c r="L12" t="s">
        <v>191</v>
      </c>
      <c r="M12">
        <v>448</v>
      </c>
      <c r="N12">
        <v>103</v>
      </c>
      <c r="O12">
        <v>21736</v>
      </c>
      <c r="P12">
        <v>3.2973300970873698</v>
      </c>
      <c r="Q12">
        <v>0.99993588045639403</v>
      </c>
      <c r="R12">
        <v>0.84336344362535198</v>
      </c>
      <c r="S12">
        <v>0.84162812789772801</v>
      </c>
    </row>
    <row r="13" spans="1:19" x14ac:dyDescent="0.2">
      <c r="A13" t="s">
        <v>67</v>
      </c>
      <c r="B13" t="s">
        <v>302</v>
      </c>
      <c r="C13" t="s">
        <v>303</v>
      </c>
      <c r="D13" t="str">
        <f t="shared" si="0"/>
        <v>"transmembrane receptor protein tyrosine kinase activity",</v>
      </c>
      <c r="E13" t="s">
        <v>393</v>
      </c>
      <c r="F13" t="s">
        <v>598</v>
      </c>
      <c r="G13" t="str">
        <f t="shared" si="1"/>
        <v>"#2c72ae",</v>
      </c>
      <c r="H13">
        <v>6</v>
      </c>
      <c r="I13">
        <v>1.1450381679389301</v>
      </c>
      <c r="J13">
        <v>2.23062967588483E-2</v>
      </c>
      <c r="K13" s="8">
        <f t="shared" si="2"/>
        <v>1.651572524323643</v>
      </c>
      <c r="L13" t="s">
        <v>69</v>
      </c>
      <c r="M13">
        <v>448</v>
      </c>
      <c r="N13">
        <v>78</v>
      </c>
      <c r="O13">
        <v>21736</v>
      </c>
      <c r="P13">
        <v>3.7321428571428501</v>
      </c>
      <c r="Q13">
        <v>0.99998267913315098</v>
      </c>
      <c r="R13">
        <v>0.84336344362535198</v>
      </c>
      <c r="S13">
        <v>0.84162812789772801</v>
      </c>
    </row>
    <row r="14" spans="1:19" x14ac:dyDescent="0.2">
      <c r="A14" t="s">
        <v>67</v>
      </c>
      <c r="B14" t="s">
        <v>346</v>
      </c>
      <c r="C14" t="s">
        <v>347</v>
      </c>
      <c r="D14" t="str">
        <f t="shared" si="0"/>
        <v>"metal ion binding",</v>
      </c>
      <c r="E14" t="s">
        <v>393</v>
      </c>
      <c r="F14" t="s">
        <v>598</v>
      </c>
      <c r="G14" t="str">
        <f t="shared" si="1"/>
        <v>"#2c72ae",</v>
      </c>
      <c r="H14">
        <v>97</v>
      </c>
      <c r="I14">
        <v>18.5114503816793</v>
      </c>
      <c r="J14">
        <v>2.2559104459114299E-2</v>
      </c>
      <c r="K14" s="8">
        <f t="shared" si="2"/>
        <v>1.6466781447678012</v>
      </c>
      <c r="L14" t="s">
        <v>192</v>
      </c>
      <c r="M14">
        <v>448</v>
      </c>
      <c r="N14">
        <v>3850</v>
      </c>
      <c r="O14">
        <v>21736</v>
      </c>
      <c r="P14">
        <v>1.22239795918367</v>
      </c>
      <c r="Q14">
        <v>0.99998472484004097</v>
      </c>
      <c r="R14">
        <v>0.84336344362535198</v>
      </c>
      <c r="S14">
        <v>0.84162812789772801</v>
      </c>
    </row>
    <row r="15" spans="1:19" x14ac:dyDescent="0.2">
      <c r="A15" t="s">
        <v>67</v>
      </c>
      <c r="B15" t="s">
        <v>685</v>
      </c>
      <c r="C15" t="s">
        <v>686</v>
      </c>
      <c r="D15" t="str">
        <f t="shared" si="0"/>
        <v>"acyl-CoA dehydrogenase activity",</v>
      </c>
      <c r="E15" t="s">
        <v>393</v>
      </c>
      <c r="F15" t="s">
        <v>598</v>
      </c>
      <c r="G15" t="str">
        <f t="shared" si="1"/>
        <v>"#2c72ae",</v>
      </c>
      <c r="H15">
        <v>3</v>
      </c>
      <c r="I15">
        <v>0.57251908396946505</v>
      </c>
      <c r="J15">
        <v>2.8333819899962E-2</v>
      </c>
      <c r="K15" s="8">
        <f t="shared" si="2"/>
        <v>1.5476948709563993</v>
      </c>
      <c r="L15" t="s">
        <v>193</v>
      </c>
      <c r="M15">
        <v>448</v>
      </c>
      <c r="N15">
        <v>13</v>
      </c>
      <c r="O15">
        <v>21736</v>
      </c>
      <c r="P15">
        <v>11.1964285714285</v>
      </c>
      <c r="Q15">
        <v>0.99999914236156895</v>
      </c>
      <c r="R15">
        <v>0.98358831938439695</v>
      </c>
      <c r="S15">
        <v>0.981564475105829</v>
      </c>
    </row>
    <row r="16" spans="1:19" x14ac:dyDescent="0.2">
      <c r="A16" t="s">
        <v>67</v>
      </c>
      <c r="B16" t="s">
        <v>304</v>
      </c>
      <c r="C16" t="s">
        <v>305</v>
      </c>
      <c r="D16" t="str">
        <f t="shared" si="0"/>
        <v>"ATP-dependent chromatin remodeler activity",</v>
      </c>
      <c r="E16" t="s">
        <v>393</v>
      </c>
      <c r="F16" t="s">
        <v>598</v>
      </c>
      <c r="G16" t="str">
        <f t="shared" si="1"/>
        <v>"#2c72ae",</v>
      </c>
      <c r="H16">
        <v>4</v>
      </c>
      <c r="I16">
        <v>0.76335877862595403</v>
      </c>
      <c r="J16">
        <v>3.4779532370971998E-2</v>
      </c>
      <c r="K16" s="8">
        <f t="shared" si="2"/>
        <v>1.4586762616108149</v>
      </c>
      <c r="L16" t="s">
        <v>70</v>
      </c>
      <c r="M16">
        <v>448</v>
      </c>
      <c r="N16">
        <v>35</v>
      </c>
      <c r="O16">
        <v>21736</v>
      </c>
      <c r="P16">
        <v>5.54489795918367</v>
      </c>
      <c r="Q16">
        <v>0.99999996623319298</v>
      </c>
      <c r="R16">
        <v>1</v>
      </c>
      <c r="S16">
        <v>1</v>
      </c>
    </row>
    <row r="17" spans="1:19" x14ac:dyDescent="0.2">
      <c r="A17" t="s">
        <v>67</v>
      </c>
      <c r="B17" t="s">
        <v>687</v>
      </c>
      <c r="C17" t="s">
        <v>688</v>
      </c>
      <c r="D17" t="str">
        <f t="shared" si="0"/>
        <v>"transferase activity",</v>
      </c>
      <c r="E17" t="s">
        <v>393</v>
      </c>
      <c r="F17" t="s">
        <v>598</v>
      </c>
      <c r="G17" t="str">
        <f t="shared" si="1"/>
        <v>"#2c72ae",</v>
      </c>
      <c r="H17">
        <v>56</v>
      </c>
      <c r="I17">
        <v>10.687022900763299</v>
      </c>
      <c r="J17">
        <v>3.5527064045065698E-2</v>
      </c>
      <c r="K17" s="8">
        <f t="shared" si="2"/>
        <v>1.449440681103733</v>
      </c>
      <c r="L17" t="s">
        <v>194</v>
      </c>
      <c r="M17">
        <v>448</v>
      </c>
      <c r="N17">
        <v>2098</v>
      </c>
      <c r="O17">
        <v>21736</v>
      </c>
      <c r="P17">
        <v>1.2950428979980899</v>
      </c>
      <c r="Q17">
        <v>0.99999997682807695</v>
      </c>
      <c r="R17">
        <v>1</v>
      </c>
      <c r="S17">
        <v>1</v>
      </c>
    </row>
    <row r="18" spans="1:19" x14ac:dyDescent="0.2">
      <c r="A18" t="s">
        <v>67</v>
      </c>
      <c r="B18" t="s">
        <v>322</v>
      </c>
      <c r="C18" t="s">
        <v>323</v>
      </c>
      <c r="D18" t="str">
        <f t="shared" si="0"/>
        <v>"calcium channel activity",</v>
      </c>
      <c r="E18" t="s">
        <v>393</v>
      </c>
      <c r="F18" t="s">
        <v>598</v>
      </c>
      <c r="G18" t="str">
        <f t="shared" si="1"/>
        <v>"#2c72ae",</v>
      </c>
      <c r="H18">
        <v>6</v>
      </c>
      <c r="I18">
        <v>1.1450381679389301</v>
      </c>
      <c r="J18">
        <v>4.1318930200961598E-2</v>
      </c>
      <c r="K18" s="8">
        <f t="shared" si="2"/>
        <v>1.3838509314368728</v>
      </c>
      <c r="L18" t="s">
        <v>147</v>
      </c>
      <c r="M18">
        <v>448</v>
      </c>
      <c r="N18">
        <v>92</v>
      </c>
      <c r="O18">
        <v>21736</v>
      </c>
      <c r="P18">
        <v>3.1642080745341601</v>
      </c>
      <c r="Q18">
        <v>0.99999999875938195</v>
      </c>
      <c r="R18">
        <v>1</v>
      </c>
      <c r="S18">
        <v>1</v>
      </c>
    </row>
    <row r="19" spans="1:19" x14ac:dyDescent="0.2">
      <c r="A19" t="s">
        <v>67</v>
      </c>
      <c r="B19" t="s">
        <v>344</v>
      </c>
      <c r="C19" t="s">
        <v>345</v>
      </c>
      <c r="D19" t="str">
        <f t="shared" si="0"/>
        <v>"ligand-gated monoatomic ion channel activity",</v>
      </c>
      <c r="E19" t="s">
        <v>393</v>
      </c>
      <c r="F19" t="s">
        <v>598</v>
      </c>
      <c r="G19" t="str">
        <f t="shared" si="1"/>
        <v>"#2c72ae",</v>
      </c>
      <c r="H19">
        <v>4</v>
      </c>
      <c r="I19">
        <v>0.76335877862595403</v>
      </c>
      <c r="J19">
        <v>4.28689128235882E-2</v>
      </c>
      <c r="K19" s="8">
        <f t="shared" si="2"/>
        <v>1.3678575302683149</v>
      </c>
      <c r="L19" t="s">
        <v>155</v>
      </c>
      <c r="M19">
        <v>448</v>
      </c>
      <c r="N19">
        <v>38</v>
      </c>
      <c r="O19">
        <v>21736</v>
      </c>
      <c r="P19">
        <v>5.1071428571428497</v>
      </c>
      <c r="Q19">
        <v>0.99999999943491802</v>
      </c>
      <c r="R19">
        <v>1</v>
      </c>
      <c r="S19">
        <v>1</v>
      </c>
    </row>
    <row r="20" spans="1:19" x14ac:dyDescent="0.2">
      <c r="A20" t="s">
        <v>67</v>
      </c>
      <c r="B20" t="s">
        <v>314</v>
      </c>
      <c r="C20" t="s">
        <v>315</v>
      </c>
      <c r="D20" t="str">
        <f t="shared" si="0"/>
        <v>"GTPase activator activity",</v>
      </c>
      <c r="E20" t="s">
        <v>393</v>
      </c>
      <c r="F20" t="s">
        <v>598</v>
      </c>
      <c r="G20" t="str">
        <f t="shared" si="1"/>
        <v>"#2c72ae",</v>
      </c>
      <c r="H20">
        <v>11</v>
      </c>
      <c r="I20">
        <v>2.0992366412213701</v>
      </c>
      <c r="J20">
        <v>4.6216074419195598E-2</v>
      </c>
      <c r="K20" s="8">
        <f t="shared" si="2"/>
        <v>1.33520694614563</v>
      </c>
      <c r="L20" t="s">
        <v>195</v>
      </c>
      <c r="M20">
        <v>448</v>
      </c>
      <c r="N20">
        <v>263</v>
      </c>
      <c r="O20">
        <v>21736</v>
      </c>
      <c r="P20">
        <v>2.0292639869636</v>
      </c>
      <c r="Q20">
        <v>0.99999999989703203</v>
      </c>
      <c r="R20">
        <v>1</v>
      </c>
      <c r="S20">
        <v>1</v>
      </c>
    </row>
    <row r="21" spans="1:19" x14ac:dyDescent="0.2">
      <c r="A21" s="5" t="s">
        <v>67</v>
      </c>
      <c r="B21" s="5" t="s">
        <v>334</v>
      </c>
      <c r="C21" s="5" t="s">
        <v>335</v>
      </c>
      <c r="D21" s="5" t="str">
        <f t="shared" si="0"/>
        <v>"protein binding",</v>
      </c>
      <c r="E21" s="5" t="s">
        <v>393</v>
      </c>
      <c r="F21" s="5" t="s">
        <v>598</v>
      </c>
      <c r="G21" s="5" t="str">
        <f t="shared" si="1"/>
        <v>"#2c72ae",</v>
      </c>
      <c r="H21" s="5">
        <v>14</v>
      </c>
      <c r="I21" s="5">
        <v>2.6717557251908302</v>
      </c>
      <c r="J21" s="5">
        <v>5.0272441107798001E-2</v>
      </c>
      <c r="K21" s="9">
        <f t="shared" si="2"/>
        <v>1.2986700259733053</v>
      </c>
      <c r="L21" s="5" t="s">
        <v>196</v>
      </c>
      <c r="M21" s="5">
        <v>448</v>
      </c>
      <c r="N21" s="5">
        <v>379</v>
      </c>
      <c r="O21" s="5">
        <v>21736</v>
      </c>
      <c r="P21" s="5">
        <v>1.7922163588390501</v>
      </c>
      <c r="Q21" s="5">
        <v>0.99999999998702405</v>
      </c>
      <c r="R21" s="5">
        <v>1</v>
      </c>
      <c r="S21" s="5">
        <v>1</v>
      </c>
    </row>
    <row r="22" spans="1:19" x14ac:dyDescent="0.2">
      <c r="A22" s="5" t="s">
        <v>67</v>
      </c>
      <c r="B22" s="5" t="s">
        <v>689</v>
      </c>
      <c r="C22" s="5" t="s">
        <v>690</v>
      </c>
      <c r="D22" s="5" t="str">
        <f t="shared" si="0"/>
        <v>"chloride channel activity",</v>
      </c>
      <c r="E22" s="5" t="s">
        <v>393</v>
      </c>
      <c r="F22" s="5" t="s">
        <v>598</v>
      </c>
      <c r="G22" s="5" t="str">
        <f t="shared" si="1"/>
        <v>"#2c72ae",</v>
      </c>
      <c r="H22" s="5">
        <v>5</v>
      </c>
      <c r="I22" s="5">
        <v>0.95419847328244201</v>
      </c>
      <c r="J22" s="5">
        <v>5.1389482495391901E-2</v>
      </c>
      <c r="K22" s="9">
        <f t="shared" si="2"/>
        <v>1.2891257557440408</v>
      </c>
      <c r="L22" s="5" t="s">
        <v>197</v>
      </c>
      <c r="M22" s="5">
        <v>448</v>
      </c>
      <c r="N22" s="5">
        <v>68</v>
      </c>
      <c r="O22" s="5">
        <v>21736</v>
      </c>
      <c r="P22" s="5">
        <v>3.5674894957983101</v>
      </c>
      <c r="Q22" s="5">
        <v>0.99999999999267597</v>
      </c>
      <c r="R22" s="5">
        <v>1</v>
      </c>
      <c r="S22" s="5">
        <v>1</v>
      </c>
    </row>
    <row r="23" spans="1:19" x14ac:dyDescent="0.2">
      <c r="A23" s="5" t="s">
        <v>67</v>
      </c>
      <c r="B23" s="5" t="s">
        <v>691</v>
      </c>
      <c r="C23" s="5" t="s">
        <v>692</v>
      </c>
      <c r="D23" s="5" t="str">
        <f t="shared" si="0"/>
        <v>"helicase activity",</v>
      </c>
      <c r="E23" s="5" t="s">
        <v>393</v>
      </c>
      <c r="F23" s="5" t="s">
        <v>598</v>
      </c>
      <c r="G23" s="5" t="str">
        <f t="shared" si="1"/>
        <v>"#2c72ae",</v>
      </c>
      <c r="H23" s="5">
        <v>7</v>
      </c>
      <c r="I23" s="5">
        <v>1.33587786259541</v>
      </c>
      <c r="J23" s="5">
        <v>6.0494301413026703E-2</v>
      </c>
      <c r="K23" s="9">
        <f t="shared" si="2"/>
        <v>1.2182855341316652</v>
      </c>
      <c r="L23" s="5" t="s">
        <v>198</v>
      </c>
      <c r="M23" s="5">
        <v>448</v>
      </c>
      <c r="N23" s="5">
        <v>135</v>
      </c>
      <c r="O23" s="5">
        <v>21736</v>
      </c>
      <c r="P23" s="5">
        <v>2.5157407407407399</v>
      </c>
      <c r="Q23" s="5">
        <v>0.99999999999993205</v>
      </c>
      <c r="R23" s="5">
        <v>1</v>
      </c>
      <c r="S23" s="5">
        <v>1</v>
      </c>
    </row>
    <row r="24" spans="1:19" x14ac:dyDescent="0.2">
      <c r="A24" s="5" t="s">
        <v>67</v>
      </c>
      <c r="B24" s="5" t="s">
        <v>693</v>
      </c>
      <c r="C24" s="5" t="s">
        <v>694</v>
      </c>
      <c r="D24" s="5" t="str">
        <f t="shared" si="0"/>
        <v>"transmitter-gated monoatomic ion channel activity involved in regulation of postsynaptic membrane potential",</v>
      </c>
      <c r="E24" s="5" t="s">
        <v>393</v>
      </c>
      <c r="F24" s="5" t="s">
        <v>598</v>
      </c>
      <c r="G24" s="5" t="str">
        <f t="shared" si="1"/>
        <v>"#2c72ae",</v>
      </c>
      <c r="H24" s="5">
        <v>4</v>
      </c>
      <c r="I24" s="5">
        <v>0.76335877862595403</v>
      </c>
      <c r="J24" s="5">
        <v>6.5008531775254896E-2</v>
      </c>
      <c r="K24" s="9">
        <f t="shared" si="2"/>
        <v>1.1870296424377622</v>
      </c>
      <c r="L24" s="5" t="s">
        <v>155</v>
      </c>
      <c r="M24" s="5">
        <v>448</v>
      </c>
      <c r="N24" s="5">
        <v>45</v>
      </c>
      <c r="O24" s="5">
        <v>21736</v>
      </c>
      <c r="P24" s="5">
        <v>4.3126984126984098</v>
      </c>
      <c r="Q24" s="5">
        <v>0.99999999999999301</v>
      </c>
      <c r="R24" s="5">
        <v>1</v>
      </c>
      <c r="S24" s="5">
        <v>1</v>
      </c>
    </row>
    <row r="25" spans="1:19" x14ac:dyDescent="0.2">
      <c r="A25" s="5" t="s">
        <v>67</v>
      </c>
      <c r="B25" s="5" t="s">
        <v>326</v>
      </c>
      <c r="C25" s="5" t="s">
        <v>327</v>
      </c>
      <c r="D25" s="5" t="str">
        <f t="shared" si="0"/>
        <v>"insulin receptor activity",</v>
      </c>
      <c r="E25" s="5" t="s">
        <v>393</v>
      </c>
      <c r="F25" s="5" t="s">
        <v>598</v>
      </c>
      <c r="G25" s="5" t="str">
        <f t="shared" si="1"/>
        <v>"#2c72ae",</v>
      </c>
      <c r="H25" s="5">
        <v>2</v>
      </c>
      <c r="I25" s="5">
        <v>0.38167938931297701</v>
      </c>
      <c r="J25" s="5">
        <v>7.9762284116283097E-2</v>
      </c>
      <c r="K25" s="9">
        <f t="shared" si="2"/>
        <v>1.0982024178246077</v>
      </c>
      <c r="L25" s="5" t="s">
        <v>53</v>
      </c>
      <c r="M25" s="5">
        <v>448</v>
      </c>
      <c r="N25" s="5">
        <v>4</v>
      </c>
      <c r="O25" s="5">
        <v>21736</v>
      </c>
      <c r="P25" s="5">
        <v>24.258928571428498</v>
      </c>
      <c r="Q25" s="5">
        <v>1</v>
      </c>
      <c r="R25" s="5">
        <v>1</v>
      </c>
      <c r="S25" s="5">
        <v>1</v>
      </c>
    </row>
    <row r="26" spans="1:19" x14ac:dyDescent="0.2">
      <c r="A26" s="5" t="s">
        <v>67</v>
      </c>
      <c r="B26" s="5" t="s">
        <v>328</v>
      </c>
      <c r="C26" s="5" t="s">
        <v>329</v>
      </c>
      <c r="D26" s="5" t="str">
        <f t="shared" si="0"/>
        <v>"insulin receptor substrate binding",</v>
      </c>
      <c r="E26" s="5" t="s">
        <v>393</v>
      </c>
      <c r="F26" s="5" t="s">
        <v>598</v>
      </c>
      <c r="G26" s="5" t="str">
        <f t="shared" si="1"/>
        <v>"#2c72ae",</v>
      </c>
      <c r="H26" s="5">
        <v>2</v>
      </c>
      <c r="I26" s="5">
        <v>0.38167938931297701</v>
      </c>
      <c r="J26" s="5">
        <v>7.9762284116283097E-2</v>
      </c>
      <c r="K26" s="9">
        <f t="shared" si="2"/>
        <v>1.0982024178246077</v>
      </c>
      <c r="L26" s="5" t="s">
        <v>53</v>
      </c>
      <c r="M26" s="5">
        <v>448</v>
      </c>
      <c r="N26" s="5">
        <v>4</v>
      </c>
      <c r="O26" s="5">
        <v>21736</v>
      </c>
      <c r="P26" s="5">
        <v>24.258928571428498</v>
      </c>
      <c r="Q26" s="5">
        <v>1</v>
      </c>
      <c r="R26" s="5">
        <v>1</v>
      </c>
      <c r="S26" s="5">
        <v>1</v>
      </c>
    </row>
    <row r="27" spans="1:19" x14ac:dyDescent="0.2">
      <c r="A27" s="5" t="s">
        <v>67</v>
      </c>
      <c r="B27" s="5" t="s">
        <v>625</v>
      </c>
      <c r="C27" s="5" t="s">
        <v>626</v>
      </c>
      <c r="D27" s="5" t="str">
        <f t="shared" si="0"/>
        <v>"L-amino acid transmembrane transporter activity",</v>
      </c>
      <c r="E27" s="5" t="s">
        <v>393</v>
      </c>
      <c r="F27" s="5" t="s">
        <v>598</v>
      </c>
      <c r="G27" s="5" t="str">
        <f t="shared" si="1"/>
        <v>"#2c72ae",</v>
      </c>
      <c r="H27" s="5">
        <v>3</v>
      </c>
      <c r="I27" s="5">
        <v>0.57251908396946505</v>
      </c>
      <c r="J27" s="5">
        <v>9.2847253869582397E-2</v>
      </c>
      <c r="K27" s="9">
        <f t="shared" si="2"/>
        <v>1.032230936802218</v>
      </c>
      <c r="L27" s="5" t="s">
        <v>118</v>
      </c>
      <c r="M27" s="5">
        <v>448</v>
      </c>
      <c r="N27" s="5">
        <v>25</v>
      </c>
      <c r="O27" s="5">
        <v>21736</v>
      </c>
      <c r="P27" s="5">
        <v>5.8221428571428504</v>
      </c>
      <c r="Q27" s="5">
        <v>1</v>
      </c>
      <c r="R27" s="5">
        <v>1</v>
      </c>
      <c r="S27" s="5">
        <v>1</v>
      </c>
    </row>
    <row r="28" spans="1:19" x14ac:dyDescent="0.2">
      <c r="A28" s="5" t="s">
        <v>67</v>
      </c>
      <c r="B28" s="5" t="s">
        <v>332</v>
      </c>
      <c r="C28" s="5" t="s">
        <v>333</v>
      </c>
      <c r="D28" s="5" t="str">
        <f t="shared" si="0"/>
        <v>"armadillo repeat domain binding",</v>
      </c>
      <c r="E28" s="5" t="s">
        <v>393</v>
      </c>
      <c r="F28" s="5" t="s">
        <v>598</v>
      </c>
      <c r="G28" s="5" t="str">
        <f t="shared" si="1"/>
        <v>"#2c72ae",</v>
      </c>
      <c r="H28" s="5">
        <v>2</v>
      </c>
      <c r="I28" s="5">
        <v>0.38167938931297701</v>
      </c>
      <c r="J28" s="5">
        <v>9.8690420465463793E-2</v>
      </c>
      <c r="K28" s="9">
        <f t="shared" si="2"/>
        <v>1.0057250007335703</v>
      </c>
      <c r="L28" s="5" t="s">
        <v>79</v>
      </c>
      <c r="M28" s="5">
        <v>448</v>
      </c>
      <c r="N28" s="5">
        <v>5</v>
      </c>
      <c r="O28" s="5">
        <v>21736</v>
      </c>
      <c r="P28" s="5">
        <v>19.407142857142802</v>
      </c>
      <c r="Q28" s="5">
        <v>1</v>
      </c>
      <c r="R28" s="5">
        <v>1</v>
      </c>
      <c r="S28" s="5">
        <v>1</v>
      </c>
    </row>
    <row r="29" spans="1:19" x14ac:dyDescent="0.2">
      <c r="A29" s="5" t="s">
        <v>67</v>
      </c>
      <c r="B29" s="5" t="s">
        <v>695</v>
      </c>
      <c r="C29" s="5" t="s">
        <v>696</v>
      </c>
      <c r="D29" s="5" t="str">
        <f t="shared" si="0"/>
        <v>"1-phosphatidylinositol-4,5-bisphosphate 3-kinase activity",</v>
      </c>
      <c r="E29" s="5" t="s">
        <v>393</v>
      </c>
      <c r="F29" s="5" t="s">
        <v>598</v>
      </c>
      <c r="G29" s="5" t="str">
        <f t="shared" si="1"/>
        <v>"#2c72ae",</v>
      </c>
      <c r="H29" s="5">
        <v>2</v>
      </c>
      <c r="I29" s="5">
        <v>0.38167938931297701</v>
      </c>
      <c r="J29" s="5">
        <v>9.8690420465463793E-2</v>
      </c>
      <c r="K29" s="9">
        <f t="shared" si="2"/>
        <v>1.0057250007335703</v>
      </c>
      <c r="L29" s="5" t="s">
        <v>199</v>
      </c>
      <c r="M29" s="5">
        <v>448</v>
      </c>
      <c r="N29" s="5">
        <v>5</v>
      </c>
      <c r="O29" s="5">
        <v>21736</v>
      </c>
      <c r="P29" s="5">
        <v>19.407142857142802</v>
      </c>
      <c r="Q29" s="5">
        <v>1</v>
      </c>
      <c r="R29" s="5">
        <v>1</v>
      </c>
      <c r="S29" s="5">
        <v>1</v>
      </c>
    </row>
    <row r="30" spans="1:19" x14ac:dyDescent="0.2">
      <c r="A30" s="5" t="s">
        <v>67</v>
      </c>
      <c r="B30" s="5" t="s">
        <v>627</v>
      </c>
      <c r="C30" s="5" t="s">
        <v>628</v>
      </c>
      <c r="D30" s="5" t="str">
        <f t="shared" si="0"/>
        <v>"protein phosphatase inhibitor activity",</v>
      </c>
      <c r="E30" s="5" t="s">
        <v>393</v>
      </c>
      <c r="F30" s="5" t="s">
        <v>598</v>
      </c>
      <c r="G30" s="5" t="str">
        <f t="shared" si="1"/>
        <v>"#2c72ae",</v>
      </c>
      <c r="H30" s="5">
        <v>3</v>
      </c>
      <c r="I30" s="5">
        <v>0.57251908396946505</v>
      </c>
      <c r="J30" s="5">
        <v>9.9266767675152301E-2</v>
      </c>
      <c r="K30" s="9">
        <f t="shared" si="2"/>
        <v>1.0031961193887406</v>
      </c>
      <c r="L30" s="5" t="s">
        <v>120</v>
      </c>
      <c r="M30" s="5">
        <v>448</v>
      </c>
      <c r="N30" s="5">
        <v>26</v>
      </c>
      <c r="O30" s="5">
        <v>21736</v>
      </c>
      <c r="P30" s="5">
        <v>5.5982142857142803</v>
      </c>
      <c r="Q30" s="5">
        <v>1</v>
      </c>
      <c r="R30" s="5">
        <v>1</v>
      </c>
      <c r="S30" s="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4A98-7BB9-7C43-ABB1-47B245F618B3}">
  <dimension ref="A1:S36"/>
  <sheetViews>
    <sheetView topLeftCell="C1" workbookViewId="0">
      <selection activeCell="D2" sqref="D2:E2"/>
    </sheetView>
  </sheetViews>
  <sheetFormatPr baseColWidth="10" defaultRowHeight="16" x14ac:dyDescent="0.2"/>
  <cols>
    <col min="1" max="1" width="18.83203125" bestFit="1" customWidth="1"/>
    <col min="2" max="2" width="11.33203125" bestFit="1" customWidth="1"/>
    <col min="3" max="3" width="74.6640625" bestFit="1" customWidth="1"/>
    <col min="4" max="4" width="76.83203125" bestFit="1" customWidth="1"/>
    <col min="5" max="5" width="15.8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15</v>
      </c>
      <c r="B2" s="2" t="s">
        <v>397</v>
      </c>
      <c r="C2" s="2" t="s">
        <v>398</v>
      </c>
      <c r="D2" s="2" t="str">
        <f>CHAR(34)&amp;C2&amp;CHAR(34)&amp;","</f>
        <v>"glial cell development",</v>
      </c>
      <c r="E2" s="2" t="s">
        <v>350</v>
      </c>
      <c r="F2" s="2" t="s">
        <v>596</v>
      </c>
      <c r="G2" s="2" t="str">
        <f>CHAR(34)&amp;F2&amp;CHAR(34)&amp;","</f>
        <v>"#7f6333",</v>
      </c>
      <c r="H2" s="2">
        <v>6</v>
      </c>
      <c r="I2" s="2">
        <v>1.6085790884718401</v>
      </c>
      <c r="J2" s="4">
        <v>4.43272069777039E-4</v>
      </c>
      <c r="K2" s="7">
        <f>-(LOG(J2))</f>
        <v>3.353329632390833</v>
      </c>
      <c r="L2" s="2" t="s">
        <v>17</v>
      </c>
      <c r="M2" s="2">
        <v>330</v>
      </c>
      <c r="N2" s="2">
        <v>43</v>
      </c>
      <c r="O2" s="2">
        <v>21944</v>
      </c>
      <c r="P2" s="2">
        <v>9.2786469344608804</v>
      </c>
      <c r="Q2" s="2">
        <v>0.30140674955577901</v>
      </c>
      <c r="R2" s="2">
        <v>0.196734254596172</v>
      </c>
      <c r="S2" s="2">
        <v>0.196734254596172</v>
      </c>
    </row>
    <row r="3" spans="1:19" x14ac:dyDescent="0.2">
      <c r="A3" s="2" t="s">
        <v>15</v>
      </c>
      <c r="B3" s="2" t="s">
        <v>395</v>
      </c>
      <c r="C3" s="2" t="s">
        <v>396</v>
      </c>
      <c r="D3" s="2" t="str">
        <f t="shared" ref="D3:D36" si="0">CHAR(34)&amp;C3&amp;CHAR(34)&amp;","</f>
        <v>"cell surface receptor protein tyrosine kinase signaling pathway",</v>
      </c>
      <c r="E3" s="2" t="s">
        <v>350</v>
      </c>
      <c r="F3" s="2" t="s">
        <v>596</v>
      </c>
      <c r="G3" s="2" t="str">
        <f t="shared" ref="G3:G36" si="1">CHAR(34)&amp;F3&amp;CHAR(34)&amp;","</f>
        <v>"#7f6333",</v>
      </c>
      <c r="H3" s="2">
        <v>9</v>
      </c>
      <c r="I3" s="2">
        <v>2.4128686327077702</v>
      </c>
      <c r="J3" s="4">
        <v>4.8636404102885499E-4</v>
      </c>
      <c r="K3" s="7">
        <f t="shared" ref="K3:K36" si="2">-(LOG(J3))</f>
        <v>3.3130385417946075</v>
      </c>
      <c r="L3" s="2" t="s">
        <v>16</v>
      </c>
      <c r="M3" s="2">
        <v>330</v>
      </c>
      <c r="N3" s="2">
        <v>121</v>
      </c>
      <c r="O3" s="2">
        <v>21944</v>
      </c>
      <c r="P3" s="2">
        <v>4.9460555972952598</v>
      </c>
      <c r="Q3" s="2">
        <v>0.32535201287625698</v>
      </c>
      <c r="R3" s="2">
        <v>0.196734254596172</v>
      </c>
      <c r="S3" s="2">
        <v>0.196734254596172</v>
      </c>
    </row>
    <row r="4" spans="1:19" x14ac:dyDescent="0.2">
      <c r="A4" s="2" t="s">
        <v>15</v>
      </c>
      <c r="B4" s="2" t="s">
        <v>401</v>
      </c>
      <c r="C4" s="2" t="s">
        <v>402</v>
      </c>
      <c r="D4" s="2" t="str">
        <f t="shared" si="0"/>
        <v>"endocytosis",</v>
      </c>
      <c r="E4" s="2" t="s">
        <v>350</v>
      </c>
      <c r="F4" s="2" t="s">
        <v>596</v>
      </c>
      <c r="G4" s="2" t="str">
        <f t="shared" si="1"/>
        <v>"#7f6333",</v>
      </c>
      <c r="H4" s="2">
        <v>9</v>
      </c>
      <c r="I4" s="2">
        <v>2.4128686327077702</v>
      </c>
      <c r="J4" s="2">
        <v>2.3080347782132599E-3</v>
      </c>
      <c r="K4" s="7">
        <f t="shared" si="2"/>
        <v>2.6367576513775224</v>
      </c>
      <c r="L4" s="2" t="s">
        <v>87</v>
      </c>
      <c r="M4" s="2">
        <v>330</v>
      </c>
      <c r="N4" s="2">
        <v>154</v>
      </c>
      <c r="O4" s="2">
        <v>21944</v>
      </c>
      <c r="P4" s="2">
        <v>3.8861865407319902</v>
      </c>
      <c r="Q4" s="2">
        <v>0.84577739577480604</v>
      </c>
      <c r="R4" s="2">
        <v>0.62240004519151004</v>
      </c>
      <c r="S4" s="2">
        <v>0.62240004519151004</v>
      </c>
    </row>
    <row r="5" spans="1:19" x14ac:dyDescent="0.2">
      <c r="A5" s="2" t="s">
        <v>15</v>
      </c>
      <c r="B5" s="2" t="s">
        <v>405</v>
      </c>
      <c r="C5" s="2" t="s">
        <v>406</v>
      </c>
      <c r="D5" s="2" t="str">
        <f t="shared" si="0"/>
        <v>"animal organ development",</v>
      </c>
      <c r="E5" s="2" t="s">
        <v>350</v>
      </c>
      <c r="F5" s="2" t="s">
        <v>596</v>
      </c>
      <c r="G5" s="2" t="str">
        <f t="shared" si="1"/>
        <v>"#7f6333",</v>
      </c>
      <c r="H5" s="2">
        <v>9</v>
      </c>
      <c r="I5" s="2">
        <v>2.4128686327077702</v>
      </c>
      <c r="J5" s="2">
        <v>3.9319164676832599E-3</v>
      </c>
      <c r="K5" s="7">
        <f t="shared" si="2"/>
        <v>2.4053957171902507</v>
      </c>
      <c r="L5" s="2" t="s">
        <v>88</v>
      </c>
      <c r="M5" s="2">
        <v>330</v>
      </c>
      <c r="N5" s="2">
        <v>168</v>
      </c>
      <c r="O5" s="2">
        <v>21944</v>
      </c>
      <c r="P5" s="2">
        <v>3.5623376623376601</v>
      </c>
      <c r="Q5" s="2">
        <v>0.95871229073736397</v>
      </c>
      <c r="R5" s="2">
        <v>0.79523010558894003</v>
      </c>
      <c r="S5" s="2">
        <v>0.79523010558894003</v>
      </c>
    </row>
    <row r="6" spans="1:19" x14ac:dyDescent="0.2">
      <c r="A6" s="2" t="s">
        <v>15</v>
      </c>
      <c r="B6" s="2" t="s">
        <v>399</v>
      </c>
      <c r="C6" s="2" t="s">
        <v>400</v>
      </c>
      <c r="D6" s="2" t="str">
        <f t="shared" si="0"/>
        <v>"retina development in camera-type eye",</v>
      </c>
      <c r="E6" s="2" t="s">
        <v>350</v>
      </c>
      <c r="F6" s="2" t="s">
        <v>596</v>
      </c>
      <c r="G6" s="2" t="str">
        <f t="shared" si="1"/>
        <v>"#7f6333",</v>
      </c>
      <c r="H6" s="2">
        <v>8</v>
      </c>
      <c r="I6" s="2">
        <v>2.1447721179624599</v>
      </c>
      <c r="J6" s="2">
        <v>5.6735865119974102E-3</v>
      </c>
      <c r="K6" s="7">
        <f t="shared" si="2"/>
        <v>2.2461423185404108</v>
      </c>
      <c r="L6" s="2" t="s">
        <v>18</v>
      </c>
      <c r="M6" s="2">
        <v>330</v>
      </c>
      <c r="N6" s="2">
        <v>142</v>
      </c>
      <c r="O6" s="2">
        <v>21944</v>
      </c>
      <c r="P6" s="2">
        <v>3.7463081519419501</v>
      </c>
      <c r="Q6" s="2">
        <v>0.989978290957504</v>
      </c>
      <c r="R6" s="2">
        <v>0.917986297641181</v>
      </c>
      <c r="S6" s="2">
        <v>0.917986297641181</v>
      </c>
    </row>
    <row r="7" spans="1:19" x14ac:dyDescent="0.2">
      <c r="A7" t="s">
        <v>15</v>
      </c>
      <c r="B7" t="s">
        <v>403</v>
      </c>
      <c r="C7" t="s">
        <v>404</v>
      </c>
      <c r="D7" t="str">
        <f t="shared" si="0"/>
        <v>"positive regulation of kinase activity",</v>
      </c>
      <c r="E7" t="s">
        <v>350</v>
      </c>
      <c r="F7" t="s">
        <v>596</v>
      </c>
      <c r="G7" t="str">
        <f t="shared" si="1"/>
        <v>"#7f6333",</v>
      </c>
      <c r="H7">
        <v>5</v>
      </c>
      <c r="I7">
        <v>1.34048257372654</v>
      </c>
      <c r="J7">
        <v>1.18258288044577E-2</v>
      </c>
      <c r="K7" s="8">
        <f t="shared" si="2"/>
        <v>1.9271684123162385</v>
      </c>
      <c r="L7" t="s">
        <v>20</v>
      </c>
      <c r="M7">
        <v>330</v>
      </c>
      <c r="N7">
        <v>59</v>
      </c>
      <c r="O7">
        <v>21944</v>
      </c>
      <c r="P7">
        <v>5.6353364149974299</v>
      </c>
      <c r="Q7">
        <v>0.99993388499946301</v>
      </c>
      <c r="R7">
        <v>1</v>
      </c>
      <c r="S7">
        <v>1</v>
      </c>
    </row>
    <row r="8" spans="1:19" x14ac:dyDescent="0.2">
      <c r="A8" t="s">
        <v>15</v>
      </c>
      <c r="B8" t="s">
        <v>407</v>
      </c>
      <c r="C8" t="s">
        <v>408</v>
      </c>
      <c r="D8" t="str">
        <f t="shared" si="0"/>
        <v>"determination of heart left/right asymmetry",</v>
      </c>
      <c r="E8" t="s">
        <v>350</v>
      </c>
      <c r="F8" t="s">
        <v>596</v>
      </c>
      <c r="G8" t="str">
        <f t="shared" si="1"/>
        <v>"#7f6333",</v>
      </c>
      <c r="H8">
        <v>6</v>
      </c>
      <c r="I8">
        <v>1.6085790884718401</v>
      </c>
      <c r="J8">
        <v>1.25085974799712E-2</v>
      </c>
      <c r="K8" s="8">
        <f t="shared" si="2"/>
        <v>1.9027913826211986</v>
      </c>
      <c r="L8" t="s">
        <v>22</v>
      </c>
      <c r="M8">
        <v>330</v>
      </c>
      <c r="N8">
        <v>92</v>
      </c>
      <c r="O8">
        <v>21944</v>
      </c>
      <c r="P8">
        <v>4.3367588932806296</v>
      </c>
      <c r="Q8">
        <v>0.99996220290234294</v>
      </c>
      <c r="R8">
        <v>1</v>
      </c>
      <c r="S8">
        <v>1</v>
      </c>
    </row>
    <row r="9" spans="1:19" x14ac:dyDescent="0.2">
      <c r="A9" t="s">
        <v>15</v>
      </c>
      <c r="B9" t="s">
        <v>423</v>
      </c>
      <c r="C9" t="s">
        <v>424</v>
      </c>
      <c r="D9" t="str">
        <f t="shared" si="0"/>
        <v>"intracellular protein transport",</v>
      </c>
      <c r="E9" t="s">
        <v>350</v>
      </c>
      <c r="F9" t="s">
        <v>596</v>
      </c>
      <c r="G9" t="str">
        <f t="shared" si="1"/>
        <v>"#7f6333",</v>
      </c>
      <c r="H9">
        <v>10</v>
      </c>
      <c r="I9">
        <v>2.68096514745308</v>
      </c>
      <c r="J9">
        <v>2.11672839603834E-2</v>
      </c>
      <c r="K9" s="8">
        <f t="shared" si="2"/>
        <v>1.6743348640727678</v>
      </c>
      <c r="L9" t="s">
        <v>89</v>
      </c>
      <c r="M9">
        <v>330</v>
      </c>
      <c r="N9">
        <v>270</v>
      </c>
      <c r="O9">
        <v>21944</v>
      </c>
      <c r="P9">
        <v>2.46285072951739</v>
      </c>
      <c r="Q9">
        <v>0.99999996958011605</v>
      </c>
      <c r="R9">
        <v>1</v>
      </c>
      <c r="S9">
        <v>1</v>
      </c>
    </row>
    <row r="10" spans="1:19" x14ac:dyDescent="0.2">
      <c r="A10" t="s">
        <v>15</v>
      </c>
      <c r="B10" t="s">
        <v>603</v>
      </c>
      <c r="C10" t="s">
        <v>604</v>
      </c>
      <c r="D10" t="str">
        <f t="shared" si="0"/>
        <v>"lipid metabolic process",</v>
      </c>
      <c r="E10" t="s">
        <v>350</v>
      </c>
      <c r="F10" t="s">
        <v>596</v>
      </c>
      <c r="G10" t="str">
        <f t="shared" si="1"/>
        <v>"#7f6333",</v>
      </c>
      <c r="H10">
        <v>14</v>
      </c>
      <c r="I10">
        <v>3.75335120643431</v>
      </c>
      <c r="J10">
        <v>2.2529324962818401E-2</v>
      </c>
      <c r="K10" s="8">
        <f t="shared" si="2"/>
        <v>1.6472518206736391</v>
      </c>
      <c r="L10" t="s">
        <v>90</v>
      </c>
      <c r="M10">
        <v>330</v>
      </c>
      <c r="N10">
        <v>461</v>
      </c>
      <c r="O10">
        <v>21944</v>
      </c>
      <c r="P10">
        <v>2.0194307500164301</v>
      </c>
      <c r="Q10">
        <v>0.99999999013894703</v>
      </c>
      <c r="R10">
        <v>1</v>
      </c>
      <c r="S10">
        <v>1</v>
      </c>
    </row>
    <row r="11" spans="1:19" x14ac:dyDescent="0.2">
      <c r="A11" t="s">
        <v>15</v>
      </c>
      <c r="B11" t="s">
        <v>419</v>
      </c>
      <c r="C11" t="s">
        <v>420</v>
      </c>
      <c r="D11" t="str">
        <f t="shared" si="0"/>
        <v>"monoatomic ion transmembrane transport",</v>
      </c>
      <c r="E11" t="s">
        <v>350</v>
      </c>
      <c r="F11" t="s">
        <v>596</v>
      </c>
      <c r="G11" t="str">
        <f t="shared" si="1"/>
        <v>"#7f6333",</v>
      </c>
      <c r="H11">
        <v>12</v>
      </c>
      <c r="I11">
        <v>3.2171581769436899</v>
      </c>
      <c r="J11">
        <v>2.4029369929077001E-2</v>
      </c>
      <c r="K11" s="8">
        <f t="shared" si="2"/>
        <v>1.6192576166248358</v>
      </c>
      <c r="L11" t="s">
        <v>91</v>
      </c>
      <c r="M11">
        <v>330</v>
      </c>
      <c r="N11">
        <v>369</v>
      </c>
      <c r="O11">
        <v>21944</v>
      </c>
      <c r="P11">
        <v>2.1625030795762501</v>
      </c>
      <c r="Q11">
        <v>0.99999999715337895</v>
      </c>
      <c r="R11">
        <v>1</v>
      </c>
      <c r="S11">
        <v>1</v>
      </c>
    </row>
    <row r="12" spans="1:19" x14ac:dyDescent="0.2">
      <c r="A12" t="s">
        <v>15</v>
      </c>
      <c r="B12" t="s">
        <v>447</v>
      </c>
      <c r="C12" t="s">
        <v>448</v>
      </c>
      <c r="D12" t="str">
        <f t="shared" si="0"/>
        <v>"peptidyl-serine phosphorylation",</v>
      </c>
      <c r="E12" t="s">
        <v>350</v>
      </c>
      <c r="F12" t="s">
        <v>596</v>
      </c>
      <c r="G12" t="str">
        <f t="shared" si="1"/>
        <v>"#7f6333",</v>
      </c>
      <c r="H12">
        <v>6</v>
      </c>
      <c r="I12">
        <v>1.6085790884718401</v>
      </c>
      <c r="J12">
        <v>2.5980144435910402E-2</v>
      </c>
      <c r="K12" s="8">
        <f t="shared" si="2"/>
        <v>1.5853584388078521</v>
      </c>
      <c r="L12" t="s">
        <v>92</v>
      </c>
      <c r="M12">
        <v>330</v>
      </c>
      <c r="N12">
        <v>111</v>
      </c>
      <c r="O12">
        <v>21944</v>
      </c>
      <c r="P12">
        <v>3.5944307944307901</v>
      </c>
      <c r="Q12">
        <v>0.99999999943589701</v>
      </c>
      <c r="R12">
        <v>1</v>
      </c>
      <c r="S12">
        <v>1</v>
      </c>
    </row>
    <row r="13" spans="1:19" x14ac:dyDescent="0.2">
      <c r="A13" t="s">
        <v>15</v>
      </c>
      <c r="B13" t="s">
        <v>409</v>
      </c>
      <c r="C13" t="s">
        <v>410</v>
      </c>
      <c r="D13" t="str">
        <f t="shared" si="0"/>
        <v>"fibroblast growth factor receptor signaling pathway",</v>
      </c>
      <c r="E13" t="s">
        <v>350</v>
      </c>
      <c r="F13" t="s">
        <v>596</v>
      </c>
      <c r="G13" t="str">
        <f t="shared" si="1"/>
        <v>"#7f6333",</v>
      </c>
      <c r="H13">
        <v>4</v>
      </c>
      <c r="I13">
        <v>1.07238605898123</v>
      </c>
      <c r="J13">
        <v>3.1550932449298602E-2</v>
      </c>
      <c r="K13" s="8">
        <f t="shared" si="2"/>
        <v>1.5009878011868527</v>
      </c>
      <c r="L13" t="s">
        <v>23</v>
      </c>
      <c r="M13">
        <v>330</v>
      </c>
      <c r="N13">
        <v>46</v>
      </c>
      <c r="O13">
        <v>21944</v>
      </c>
      <c r="P13">
        <v>5.7823451910408403</v>
      </c>
      <c r="Q13">
        <v>0.99999999999455302</v>
      </c>
      <c r="R13">
        <v>1</v>
      </c>
      <c r="S13">
        <v>1</v>
      </c>
    </row>
    <row r="14" spans="1:19" x14ac:dyDescent="0.2">
      <c r="A14" t="s">
        <v>15</v>
      </c>
      <c r="B14" t="s">
        <v>605</v>
      </c>
      <c r="C14" t="s">
        <v>606</v>
      </c>
      <c r="D14" t="str">
        <f t="shared" si="0"/>
        <v>"amino acid transport",</v>
      </c>
      <c r="E14" t="s">
        <v>350</v>
      </c>
      <c r="F14" t="s">
        <v>596</v>
      </c>
      <c r="G14" t="str">
        <f t="shared" si="1"/>
        <v>"#7f6333",</v>
      </c>
      <c r="H14">
        <v>4</v>
      </c>
      <c r="I14">
        <v>1.07238605898123</v>
      </c>
      <c r="J14">
        <v>3.3338799561021003E-2</v>
      </c>
      <c r="K14" s="8">
        <f t="shared" si="2"/>
        <v>1.477050041982831</v>
      </c>
      <c r="L14" t="s">
        <v>93</v>
      </c>
      <c r="M14">
        <v>330</v>
      </c>
      <c r="N14">
        <v>47</v>
      </c>
      <c r="O14">
        <v>21944</v>
      </c>
      <c r="P14">
        <v>5.6593165699548598</v>
      </c>
      <c r="Q14">
        <v>0.99999999999877798</v>
      </c>
      <c r="R14">
        <v>1</v>
      </c>
      <c r="S14">
        <v>1</v>
      </c>
    </row>
    <row r="15" spans="1:19" x14ac:dyDescent="0.2">
      <c r="A15" t="s">
        <v>15</v>
      </c>
      <c r="B15" t="s">
        <v>443</v>
      </c>
      <c r="C15" t="s">
        <v>444</v>
      </c>
      <c r="D15" t="str">
        <f t="shared" si="0"/>
        <v>"cell development",</v>
      </c>
      <c r="E15" t="s">
        <v>350</v>
      </c>
      <c r="F15" t="s">
        <v>596</v>
      </c>
      <c r="G15" t="str">
        <f t="shared" si="1"/>
        <v>"#7f6333",</v>
      </c>
      <c r="H15">
        <v>8</v>
      </c>
      <c r="I15">
        <v>2.1447721179624599</v>
      </c>
      <c r="J15">
        <v>3.4657787350236897E-2</v>
      </c>
      <c r="K15" s="8">
        <f t="shared" si="2"/>
        <v>1.4601991673075156</v>
      </c>
      <c r="L15" t="s">
        <v>94</v>
      </c>
      <c r="M15">
        <v>330</v>
      </c>
      <c r="N15">
        <v>204</v>
      </c>
      <c r="O15">
        <v>21944</v>
      </c>
      <c r="P15">
        <v>2.60772430184194</v>
      </c>
      <c r="Q15">
        <v>0.99999999999959499</v>
      </c>
      <c r="R15">
        <v>1</v>
      </c>
      <c r="S15">
        <v>1</v>
      </c>
    </row>
    <row r="16" spans="1:19" x14ac:dyDescent="0.2">
      <c r="A16" t="s">
        <v>15</v>
      </c>
      <c r="B16" t="s">
        <v>413</v>
      </c>
      <c r="C16" t="s">
        <v>414</v>
      </c>
      <c r="D16" t="str">
        <f t="shared" si="0"/>
        <v>"glucose homeostasis",</v>
      </c>
      <c r="E16" t="s">
        <v>350</v>
      </c>
      <c r="F16" t="s">
        <v>596</v>
      </c>
      <c r="G16" t="str">
        <f t="shared" si="1"/>
        <v>"#7f6333",</v>
      </c>
      <c r="H16">
        <v>4</v>
      </c>
      <c r="I16">
        <v>1.07238605898123</v>
      </c>
      <c r="J16">
        <v>3.5178326871601398E-2</v>
      </c>
      <c r="K16" s="8">
        <f t="shared" si="2"/>
        <v>1.4537248200152975</v>
      </c>
      <c r="L16" t="s">
        <v>25</v>
      </c>
      <c r="M16">
        <v>330</v>
      </c>
      <c r="N16">
        <v>48</v>
      </c>
      <c r="O16">
        <v>21944</v>
      </c>
      <c r="P16">
        <v>5.5414141414141396</v>
      </c>
      <c r="Q16">
        <v>0.99999999999973799</v>
      </c>
      <c r="R16">
        <v>1</v>
      </c>
      <c r="S16">
        <v>1</v>
      </c>
    </row>
    <row r="17" spans="1:19" x14ac:dyDescent="0.2">
      <c r="A17" t="s">
        <v>15</v>
      </c>
      <c r="B17" t="s">
        <v>415</v>
      </c>
      <c r="C17" t="s">
        <v>416</v>
      </c>
      <c r="D17" t="str">
        <f t="shared" si="0"/>
        <v>"posterior lateral line development",</v>
      </c>
      <c r="E17" t="s">
        <v>350</v>
      </c>
      <c r="F17" t="s">
        <v>596</v>
      </c>
      <c r="G17" t="str">
        <f t="shared" si="1"/>
        <v>"#7f6333",</v>
      </c>
      <c r="H17">
        <v>3</v>
      </c>
      <c r="I17">
        <v>0.80428954423592403</v>
      </c>
      <c r="J17">
        <v>3.5643402569064703E-2</v>
      </c>
      <c r="K17" s="8">
        <f t="shared" si="2"/>
        <v>1.4480208442974976</v>
      </c>
      <c r="L17" t="s">
        <v>26</v>
      </c>
      <c r="M17">
        <v>330</v>
      </c>
      <c r="N17">
        <v>20</v>
      </c>
      <c r="O17">
        <v>21944</v>
      </c>
      <c r="P17">
        <v>9.9745454545454493</v>
      </c>
      <c r="Q17">
        <v>0.99999999999982203</v>
      </c>
      <c r="R17">
        <v>1</v>
      </c>
      <c r="S17">
        <v>1</v>
      </c>
    </row>
    <row r="18" spans="1:19" x14ac:dyDescent="0.2">
      <c r="A18" t="s">
        <v>15</v>
      </c>
      <c r="B18" t="s">
        <v>417</v>
      </c>
      <c r="C18" t="s">
        <v>418</v>
      </c>
      <c r="D18" t="str">
        <f t="shared" si="0"/>
        <v>"positive regulation of MAPK cascade",</v>
      </c>
      <c r="E18" t="s">
        <v>350</v>
      </c>
      <c r="F18" t="s">
        <v>596</v>
      </c>
      <c r="G18" t="str">
        <f t="shared" si="1"/>
        <v>"#7f6333",</v>
      </c>
      <c r="H18">
        <v>5</v>
      </c>
      <c r="I18">
        <v>1.34048257372654</v>
      </c>
      <c r="J18">
        <v>4.0443827065024397E-2</v>
      </c>
      <c r="K18" s="8">
        <f t="shared" si="2"/>
        <v>1.3931477552921823</v>
      </c>
      <c r="L18" t="s">
        <v>27</v>
      </c>
      <c r="M18">
        <v>330</v>
      </c>
      <c r="N18">
        <v>86</v>
      </c>
      <c r="O18">
        <v>21944</v>
      </c>
      <c r="P18">
        <v>3.8661028893587002</v>
      </c>
      <c r="Q18">
        <v>0.999999999999996</v>
      </c>
      <c r="R18">
        <v>1</v>
      </c>
      <c r="S18">
        <v>1</v>
      </c>
    </row>
    <row r="19" spans="1:19" x14ac:dyDescent="0.2">
      <c r="A19" t="s">
        <v>15</v>
      </c>
      <c r="B19" t="s">
        <v>421</v>
      </c>
      <c r="C19" t="s">
        <v>422</v>
      </c>
      <c r="D19" t="str">
        <f t="shared" si="0"/>
        <v>"Kupffer's vesicle development",</v>
      </c>
      <c r="E19" t="s">
        <v>350</v>
      </c>
      <c r="F19" t="s">
        <v>596</v>
      </c>
      <c r="G19" t="str">
        <f t="shared" si="1"/>
        <v>"#7f6333",</v>
      </c>
      <c r="H19">
        <v>5</v>
      </c>
      <c r="I19">
        <v>1.34048257372654</v>
      </c>
      <c r="J19">
        <v>4.3409919673109802E-2</v>
      </c>
      <c r="K19" s="8">
        <f t="shared" si="2"/>
        <v>1.3624110177908195</v>
      </c>
      <c r="L19" t="s">
        <v>29</v>
      </c>
      <c r="M19">
        <v>330</v>
      </c>
      <c r="N19">
        <v>88</v>
      </c>
      <c r="O19">
        <v>21944</v>
      </c>
      <c r="P19">
        <v>3.7782369146005501</v>
      </c>
      <c r="Q19">
        <v>0.999999999999999</v>
      </c>
      <c r="R19">
        <v>1</v>
      </c>
      <c r="S19">
        <v>1</v>
      </c>
    </row>
    <row r="20" spans="1:19" x14ac:dyDescent="0.2">
      <c r="A20" t="s">
        <v>15</v>
      </c>
      <c r="B20" t="s">
        <v>411</v>
      </c>
      <c r="C20" t="s">
        <v>412</v>
      </c>
      <c r="D20" t="str">
        <f t="shared" si="0"/>
        <v>"cell adhesion",</v>
      </c>
      <c r="E20" t="s">
        <v>350</v>
      </c>
      <c r="F20" t="s">
        <v>596</v>
      </c>
      <c r="G20" t="str">
        <f t="shared" si="1"/>
        <v>"#7f6333",</v>
      </c>
      <c r="H20">
        <v>13</v>
      </c>
      <c r="I20">
        <v>3.4852546916890002</v>
      </c>
      <c r="J20">
        <v>4.5753179546695499E-2</v>
      </c>
      <c r="K20" s="8">
        <f t="shared" si="2"/>
        <v>1.3395787199231428</v>
      </c>
      <c r="L20" t="s">
        <v>24</v>
      </c>
      <c r="M20">
        <v>330</v>
      </c>
      <c r="N20">
        <v>460</v>
      </c>
      <c r="O20">
        <v>21944</v>
      </c>
      <c r="P20">
        <v>1.87926218708827</v>
      </c>
      <c r="Q20">
        <v>1</v>
      </c>
      <c r="R20">
        <v>1</v>
      </c>
      <c r="S20">
        <v>1</v>
      </c>
    </row>
    <row r="21" spans="1:19" x14ac:dyDescent="0.2">
      <c r="A21" t="s">
        <v>15</v>
      </c>
      <c r="B21" t="s">
        <v>607</v>
      </c>
      <c r="C21" t="s">
        <v>608</v>
      </c>
      <c r="D21" t="str">
        <f t="shared" si="0"/>
        <v>"amino acid transmembrane transport",</v>
      </c>
      <c r="E21" t="s">
        <v>350</v>
      </c>
      <c r="F21" t="s">
        <v>596</v>
      </c>
      <c r="G21" t="str">
        <f t="shared" si="1"/>
        <v>"#7f6333",</v>
      </c>
      <c r="H21">
        <v>3</v>
      </c>
      <c r="I21">
        <v>0.80428954423592403</v>
      </c>
      <c r="J21">
        <v>4.6094153645533098E-2</v>
      </c>
      <c r="K21" s="8">
        <f t="shared" si="2"/>
        <v>1.3363541548814371</v>
      </c>
      <c r="L21" t="s">
        <v>95</v>
      </c>
      <c r="M21">
        <v>330</v>
      </c>
      <c r="N21">
        <v>23</v>
      </c>
      <c r="O21">
        <v>21944</v>
      </c>
      <c r="P21">
        <v>8.6735177865612592</v>
      </c>
      <c r="Q21">
        <v>1</v>
      </c>
      <c r="R21">
        <v>1</v>
      </c>
      <c r="S21">
        <v>1</v>
      </c>
    </row>
    <row r="22" spans="1:19" x14ac:dyDescent="0.2">
      <c r="A22" t="s">
        <v>15</v>
      </c>
      <c r="B22" t="s">
        <v>425</v>
      </c>
      <c r="C22" t="s">
        <v>426</v>
      </c>
      <c r="D22" t="str">
        <f t="shared" si="0"/>
        <v>"regulation of membrane potential",</v>
      </c>
      <c r="E22" t="s">
        <v>350</v>
      </c>
      <c r="F22" t="s">
        <v>596</v>
      </c>
      <c r="G22" t="str">
        <f t="shared" si="1"/>
        <v>"#7f6333",</v>
      </c>
      <c r="H22">
        <v>4</v>
      </c>
      <c r="I22">
        <v>1.07238605898123</v>
      </c>
      <c r="J22">
        <v>4.94762363937832E-2</v>
      </c>
      <c r="K22" s="8">
        <f t="shared" si="2"/>
        <v>1.3056033441192774</v>
      </c>
      <c r="L22" t="s">
        <v>31</v>
      </c>
      <c r="M22">
        <v>330</v>
      </c>
      <c r="N22">
        <v>55</v>
      </c>
      <c r="O22">
        <v>21944</v>
      </c>
      <c r="P22">
        <v>4.8361432506886999</v>
      </c>
      <c r="Q22">
        <v>1</v>
      </c>
      <c r="R22">
        <v>1</v>
      </c>
      <c r="S22">
        <v>1</v>
      </c>
    </row>
    <row r="23" spans="1:19" x14ac:dyDescent="0.2">
      <c r="A23" s="5" t="s">
        <v>15</v>
      </c>
      <c r="B23" s="5" t="s">
        <v>609</v>
      </c>
      <c r="C23" s="5" t="s">
        <v>610</v>
      </c>
      <c r="D23" s="5" t="str">
        <f t="shared" si="0"/>
        <v>"multi-ciliated epithelial cell differentiation",</v>
      </c>
      <c r="E23" s="5" t="s">
        <v>350</v>
      </c>
      <c r="F23" s="5" t="s">
        <v>596</v>
      </c>
      <c r="G23" s="5" t="str">
        <f t="shared" si="1"/>
        <v>"#7f6333",</v>
      </c>
      <c r="H23" s="5">
        <v>2</v>
      </c>
      <c r="I23" s="5">
        <v>0.53619302949061598</v>
      </c>
      <c r="J23" s="5">
        <v>5.8639494897618702E-2</v>
      </c>
      <c r="K23" s="9">
        <f t="shared" si="2"/>
        <v>1.2318097792284863</v>
      </c>
      <c r="L23" s="5" t="s">
        <v>96</v>
      </c>
      <c r="M23" s="5">
        <v>330</v>
      </c>
      <c r="N23" s="5">
        <v>4</v>
      </c>
      <c r="O23" s="5">
        <v>21944</v>
      </c>
      <c r="P23" s="5">
        <v>33.2484848484848</v>
      </c>
      <c r="Q23" s="5">
        <v>1</v>
      </c>
      <c r="R23" s="5">
        <v>1</v>
      </c>
      <c r="S23" s="5">
        <v>1</v>
      </c>
    </row>
    <row r="24" spans="1:19" x14ac:dyDescent="0.2">
      <c r="A24" s="5" t="s">
        <v>15</v>
      </c>
      <c r="B24" s="5" t="s">
        <v>429</v>
      </c>
      <c r="C24" s="5" t="s">
        <v>430</v>
      </c>
      <c r="D24" s="5" t="str">
        <f t="shared" si="0"/>
        <v>"multicellular organism development",</v>
      </c>
      <c r="E24" s="5" t="s">
        <v>350</v>
      </c>
      <c r="F24" s="5" t="s">
        <v>596</v>
      </c>
      <c r="G24" s="5" t="str">
        <f t="shared" si="1"/>
        <v>"#7f6333",</v>
      </c>
      <c r="H24" s="5">
        <v>5</v>
      </c>
      <c r="I24" s="5">
        <v>1.34048257372654</v>
      </c>
      <c r="J24" s="5">
        <v>6.0021458026404302E-2</v>
      </c>
      <c r="K24" s="9">
        <f t="shared" si="2"/>
        <v>1.2216934590089523</v>
      </c>
      <c r="L24" s="5" t="s">
        <v>20</v>
      </c>
      <c r="M24" s="5">
        <v>330</v>
      </c>
      <c r="N24" s="5">
        <v>98</v>
      </c>
      <c r="O24" s="5">
        <v>21944</v>
      </c>
      <c r="P24" s="5">
        <v>3.3927025355596698</v>
      </c>
      <c r="Q24" s="5">
        <v>1</v>
      </c>
      <c r="R24" s="5">
        <v>1</v>
      </c>
      <c r="S24" s="5">
        <v>1</v>
      </c>
    </row>
    <row r="25" spans="1:19" x14ac:dyDescent="0.2">
      <c r="A25" s="5" t="s">
        <v>15</v>
      </c>
      <c r="B25" s="5" t="s">
        <v>437</v>
      </c>
      <c r="C25" s="5" t="s">
        <v>438</v>
      </c>
      <c r="D25" s="5" t="str">
        <f t="shared" si="0"/>
        <v>"embryonic neurocranium morphogenesis",</v>
      </c>
      <c r="E25" s="5" t="s">
        <v>350</v>
      </c>
      <c r="F25" s="5" t="s">
        <v>596</v>
      </c>
      <c r="G25" s="5" t="str">
        <f t="shared" si="1"/>
        <v>"#7f6333",</v>
      </c>
      <c r="H25" s="5">
        <v>3</v>
      </c>
      <c r="I25" s="5">
        <v>0.80428954423592403</v>
      </c>
      <c r="J25" s="5">
        <v>6.1514352025691998E-2</v>
      </c>
      <c r="K25" s="9">
        <f t="shared" si="2"/>
        <v>1.2110235463646051</v>
      </c>
      <c r="L25" s="5" t="s">
        <v>36</v>
      </c>
      <c r="M25" s="5">
        <v>330</v>
      </c>
      <c r="N25" s="5">
        <v>27</v>
      </c>
      <c r="O25" s="5">
        <v>21944</v>
      </c>
      <c r="P25" s="5">
        <v>7.3885521885521799</v>
      </c>
      <c r="Q25" s="5">
        <v>1</v>
      </c>
      <c r="R25" s="5">
        <v>1</v>
      </c>
      <c r="S25" s="5">
        <v>1</v>
      </c>
    </row>
    <row r="26" spans="1:19" x14ac:dyDescent="0.2">
      <c r="A26" s="5" t="s">
        <v>15</v>
      </c>
      <c r="B26" s="5" t="s">
        <v>435</v>
      </c>
      <c r="C26" s="5" t="s">
        <v>436</v>
      </c>
      <c r="D26" s="5" t="str">
        <f t="shared" si="0"/>
        <v>"nervous system process",</v>
      </c>
      <c r="E26" s="5" t="s">
        <v>350</v>
      </c>
      <c r="F26" s="5" t="s">
        <v>596</v>
      </c>
      <c r="G26" s="5" t="str">
        <f t="shared" si="1"/>
        <v>"#7f6333",</v>
      </c>
      <c r="H26" s="5">
        <v>3</v>
      </c>
      <c r="I26" s="5">
        <v>0.80428954423592403</v>
      </c>
      <c r="J26" s="5">
        <v>6.1514352025691998E-2</v>
      </c>
      <c r="K26" s="9">
        <f t="shared" si="2"/>
        <v>1.2110235463646051</v>
      </c>
      <c r="L26" s="5" t="s">
        <v>35</v>
      </c>
      <c r="M26" s="5">
        <v>330</v>
      </c>
      <c r="N26" s="5">
        <v>27</v>
      </c>
      <c r="O26" s="5">
        <v>21944</v>
      </c>
      <c r="P26" s="5">
        <v>7.3885521885521799</v>
      </c>
      <c r="Q26" s="5">
        <v>1</v>
      </c>
      <c r="R26" s="5">
        <v>1</v>
      </c>
      <c r="S26" s="5">
        <v>1</v>
      </c>
    </row>
    <row r="27" spans="1:19" x14ac:dyDescent="0.2">
      <c r="A27" s="5" t="s">
        <v>15</v>
      </c>
      <c r="B27" s="5" t="s">
        <v>433</v>
      </c>
      <c r="C27" s="5" t="s">
        <v>434</v>
      </c>
      <c r="D27" s="5" t="str">
        <f t="shared" si="0"/>
        <v>"collagen catabolic process",</v>
      </c>
      <c r="E27" s="5" t="s">
        <v>350</v>
      </c>
      <c r="F27" s="5" t="s">
        <v>596</v>
      </c>
      <c r="G27" s="5" t="str">
        <f t="shared" si="1"/>
        <v>"#7f6333",</v>
      </c>
      <c r="H27" s="5">
        <v>3</v>
      </c>
      <c r="I27" s="5">
        <v>0.80428954423592403</v>
      </c>
      <c r="J27" s="5">
        <v>6.1514352025691998E-2</v>
      </c>
      <c r="K27" s="9">
        <f t="shared" si="2"/>
        <v>1.2110235463646051</v>
      </c>
      <c r="L27" s="5" t="s">
        <v>34</v>
      </c>
      <c r="M27" s="5">
        <v>330</v>
      </c>
      <c r="N27" s="5">
        <v>27</v>
      </c>
      <c r="O27" s="5">
        <v>21944</v>
      </c>
      <c r="P27" s="5">
        <v>7.3885521885521799</v>
      </c>
      <c r="Q27" s="5">
        <v>1</v>
      </c>
      <c r="R27" s="5">
        <v>1</v>
      </c>
      <c r="S27" s="5">
        <v>1</v>
      </c>
    </row>
    <row r="28" spans="1:19" x14ac:dyDescent="0.2">
      <c r="A28" s="5" t="s">
        <v>15</v>
      </c>
      <c r="B28" s="5" t="s">
        <v>427</v>
      </c>
      <c r="C28" s="5" t="s">
        <v>428</v>
      </c>
      <c r="D28" s="5" t="str">
        <f t="shared" si="0"/>
        <v>"apoptotic process",</v>
      </c>
      <c r="E28" s="5" t="s">
        <v>350</v>
      </c>
      <c r="F28" s="5" t="s">
        <v>596</v>
      </c>
      <c r="G28" s="5" t="str">
        <f t="shared" si="1"/>
        <v>"#7f6333",</v>
      </c>
      <c r="H28" s="5">
        <v>7</v>
      </c>
      <c r="I28" s="5">
        <v>1.8766756032171501</v>
      </c>
      <c r="J28" s="5">
        <v>6.3165030826570198E-2</v>
      </c>
      <c r="K28" s="9">
        <f t="shared" si="2"/>
        <v>1.199523287574302</v>
      </c>
      <c r="L28" s="5" t="s">
        <v>32</v>
      </c>
      <c r="M28" s="5">
        <v>330</v>
      </c>
      <c r="N28" s="5">
        <v>187</v>
      </c>
      <c r="O28" s="5">
        <v>21944</v>
      </c>
      <c r="P28" s="5">
        <v>2.4891913790309501</v>
      </c>
      <c r="Q28" s="5">
        <v>1</v>
      </c>
      <c r="R28" s="5">
        <v>1</v>
      </c>
      <c r="S28" s="5">
        <v>1</v>
      </c>
    </row>
    <row r="29" spans="1:19" x14ac:dyDescent="0.2">
      <c r="A29" s="5" t="s">
        <v>15</v>
      </c>
      <c r="B29" s="5" t="s">
        <v>431</v>
      </c>
      <c r="C29" s="5" t="s">
        <v>432</v>
      </c>
      <c r="D29" s="5" t="str">
        <f t="shared" si="0"/>
        <v>"calcium ion transport",</v>
      </c>
      <c r="E29" s="5" t="s">
        <v>350</v>
      </c>
      <c r="F29" s="5" t="s">
        <v>596</v>
      </c>
      <c r="G29" s="5" t="str">
        <f t="shared" si="1"/>
        <v>"#7f6333",</v>
      </c>
      <c r="H29" s="5">
        <v>5</v>
      </c>
      <c r="I29" s="5">
        <v>1.34048257372654</v>
      </c>
      <c r="J29" s="5">
        <v>6.5576786155041603E-2</v>
      </c>
      <c r="K29" s="9">
        <f t="shared" si="2"/>
        <v>1.1832498714320205</v>
      </c>
      <c r="L29" s="5" t="s">
        <v>33</v>
      </c>
      <c r="M29" s="5">
        <v>330</v>
      </c>
      <c r="N29" s="5">
        <v>101</v>
      </c>
      <c r="O29" s="5">
        <v>21944</v>
      </c>
      <c r="P29" s="5">
        <v>3.29192919291929</v>
      </c>
      <c r="Q29" s="5">
        <v>1</v>
      </c>
      <c r="R29" s="5">
        <v>1</v>
      </c>
      <c r="S29" s="5">
        <v>1</v>
      </c>
    </row>
    <row r="30" spans="1:19" x14ac:dyDescent="0.2">
      <c r="A30" s="5" t="s">
        <v>15</v>
      </c>
      <c r="B30" s="5" t="s">
        <v>449</v>
      </c>
      <c r="C30" s="5" t="s">
        <v>450</v>
      </c>
      <c r="D30" s="5" t="str">
        <f t="shared" si="0"/>
        <v>"proteolysis",</v>
      </c>
      <c r="E30" s="5" t="s">
        <v>350</v>
      </c>
      <c r="F30" s="5" t="s">
        <v>596</v>
      </c>
      <c r="G30" s="5" t="str">
        <f t="shared" si="1"/>
        <v>"#7f6333",</v>
      </c>
      <c r="H30" s="5">
        <v>16</v>
      </c>
      <c r="I30" s="5">
        <v>4.2895442359249296</v>
      </c>
      <c r="J30" s="5">
        <v>7.0172447116759698E-2</v>
      </c>
      <c r="K30" s="9">
        <f t="shared" si="2"/>
        <v>1.1538333780988863</v>
      </c>
      <c r="L30" s="5" t="s">
        <v>97</v>
      </c>
      <c r="M30" s="5">
        <v>330</v>
      </c>
      <c r="N30" s="5">
        <v>658</v>
      </c>
      <c r="O30" s="5">
        <v>21944</v>
      </c>
      <c r="P30" s="5">
        <v>1.6169475914156699</v>
      </c>
      <c r="Q30" s="5">
        <v>1</v>
      </c>
      <c r="R30" s="5">
        <v>1</v>
      </c>
      <c r="S30" s="5">
        <v>1</v>
      </c>
    </row>
    <row r="31" spans="1:19" x14ac:dyDescent="0.2">
      <c r="A31" s="5" t="s">
        <v>15</v>
      </c>
      <c r="B31" s="5" t="s">
        <v>441</v>
      </c>
      <c r="C31" s="5" t="s">
        <v>442</v>
      </c>
      <c r="D31" s="5" t="str">
        <f t="shared" si="0"/>
        <v>"positive regulation of phosphatidylinositol 3-kinase/protein kinase B signal transduction",</v>
      </c>
      <c r="E31" s="5" t="s">
        <v>350</v>
      </c>
      <c r="F31" s="5" t="s">
        <v>596</v>
      </c>
      <c r="G31" s="5" t="str">
        <f t="shared" si="1"/>
        <v>"#7f6333",</v>
      </c>
      <c r="H31" s="5">
        <v>3</v>
      </c>
      <c r="I31" s="5">
        <v>0.80428954423592403</v>
      </c>
      <c r="J31" s="5">
        <v>7.4058552172259803E-2</v>
      </c>
      <c r="K31" s="9">
        <f t="shared" si="2"/>
        <v>1.1304247825612801</v>
      </c>
      <c r="L31" s="5" t="s">
        <v>38</v>
      </c>
      <c r="M31" s="5">
        <v>330</v>
      </c>
      <c r="N31" s="5">
        <v>30</v>
      </c>
      <c r="O31" s="5">
        <v>21944</v>
      </c>
      <c r="P31" s="5">
        <v>6.6496969696969597</v>
      </c>
      <c r="Q31" s="5">
        <v>1</v>
      </c>
      <c r="R31" s="5">
        <v>1</v>
      </c>
      <c r="S31" s="5">
        <v>1</v>
      </c>
    </row>
    <row r="32" spans="1:19" x14ac:dyDescent="0.2">
      <c r="A32" s="5" t="s">
        <v>15</v>
      </c>
      <c r="B32" s="5" t="s">
        <v>439</v>
      </c>
      <c r="C32" s="5" t="s">
        <v>440</v>
      </c>
      <c r="D32" s="5" t="str">
        <f t="shared" si="0"/>
        <v>"positive regulation of cell population proliferation",</v>
      </c>
      <c r="E32" s="5" t="s">
        <v>350</v>
      </c>
      <c r="F32" s="5" t="s">
        <v>596</v>
      </c>
      <c r="G32" s="5" t="str">
        <f t="shared" si="1"/>
        <v>"#7f6333",</v>
      </c>
      <c r="H32" s="5">
        <v>5</v>
      </c>
      <c r="I32" s="5">
        <v>1.34048257372654</v>
      </c>
      <c r="J32" s="5">
        <v>7.7458990586224102E-2</v>
      </c>
      <c r="K32" s="9">
        <f t="shared" si="2"/>
        <v>1.1109281668605122</v>
      </c>
      <c r="L32" s="5" t="s">
        <v>37</v>
      </c>
      <c r="M32" s="5">
        <v>330</v>
      </c>
      <c r="N32" s="5">
        <v>107</v>
      </c>
      <c r="O32" s="5">
        <v>21944</v>
      </c>
      <c r="P32" s="5">
        <v>3.1073350325686699</v>
      </c>
      <c r="Q32" s="5">
        <v>1</v>
      </c>
      <c r="R32" s="5">
        <v>1</v>
      </c>
      <c r="S32" s="5">
        <v>1</v>
      </c>
    </row>
    <row r="33" spans="1:19" x14ac:dyDescent="0.2">
      <c r="A33" s="5" t="s">
        <v>15</v>
      </c>
      <c r="B33" s="5" t="s">
        <v>445</v>
      </c>
      <c r="C33" s="5" t="s">
        <v>446</v>
      </c>
      <c r="D33" s="5" t="str">
        <f t="shared" si="0"/>
        <v>"calcium ion transmembrane transport",</v>
      </c>
      <c r="E33" s="5" t="s">
        <v>350</v>
      </c>
      <c r="F33" s="5" t="s">
        <v>596</v>
      </c>
      <c r="G33" s="5" t="str">
        <f t="shared" si="1"/>
        <v>"#7f6333",</v>
      </c>
      <c r="H33" s="5">
        <v>5</v>
      </c>
      <c r="I33" s="5">
        <v>1.34048257372654</v>
      </c>
      <c r="J33" s="5">
        <v>8.3777070756070701E-2</v>
      </c>
      <c r="K33" s="9">
        <f t="shared" si="2"/>
        <v>1.0768748287052201</v>
      </c>
      <c r="L33" s="5" t="s">
        <v>33</v>
      </c>
      <c r="M33" s="5">
        <v>330</v>
      </c>
      <c r="N33" s="5">
        <v>110</v>
      </c>
      <c r="O33" s="5">
        <v>21944</v>
      </c>
      <c r="P33" s="5">
        <v>3.0225895316804401</v>
      </c>
      <c r="Q33" s="5">
        <v>1</v>
      </c>
      <c r="R33" s="5">
        <v>1</v>
      </c>
      <c r="S33" s="5">
        <v>1</v>
      </c>
    </row>
    <row r="34" spans="1:19" x14ac:dyDescent="0.2">
      <c r="A34" s="5" t="s">
        <v>15</v>
      </c>
      <c r="B34" s="5" t="s">
        <v>451</v>
      </c>
      <c r="C34" s="5" t="s">
        <v>452</v>
      </c>
      <c r="D34" s="5" t="str">
        <f t="shared" si="0"/>
        <v>"regulation of double-strand break repair via homologous recombination",</v>
      </c>
      <c r="E34" s="5" t="s">
        <v>350</v>
      </c>
      <c r="F34" s="5" t="s">
        <v>596</v>
      </c>
      <c r="G34" s="5" t="str">
        <f t="shared" si="1"/>
        <v>"#7f6333",</v>
      </c>
      <c r="H34" s="5">
        <v>2</v>
      </c>
      <c r="I34" s="5">
        <v>0.53619302949061598</v>
      </c>
      <c r="J34" s="5">
        <v>8.6660685189689501E-2</v>
      </c>
      <c r="K34" s="9">
        <f t="shared" si="2"/>
        <v>1.0621778815037579</v>
      </c>
      <c r="L34" s="5" t="s">
        <v>42</v>
      </c>
      <c r="M34" s="5">
        <v>330</v>
      </c>
      <c r="N34" s="5">
        <v>6</v>
      </c>
      <c r="O34" s="5">
        <v>21944</v>
      </c>
      <c r="P34" s="5">
        <v>22.165656565656501</v>
      </c>
      <c r="Q34" s="5">
        <v>1</v>
      </c>
      <c r="R34" s="5">
        <v>1</v>
      </c>
      <c r="S34" s="5">
        <v>1</v>
      </c>
    </row>
    <row r="35" spans="1:19" x14ac:dyDescent="0.2">
      <c r="A35" s="5" t="s">
        <v>15</v>
      </c>
      <c r="B35" s="5" t="s">
        <v>453</v>
      </c>
      <c r="C35" s="5" t="s">
        <v>454</v>
      </c>
      <c r="D35" s="5" t="str">
        <f t="shared" si="0"/>
        <v>"midbrain development",</v>
      </c>
      <c r="E35" s="5" t="s">
        <v>350</v>
      </c>
      <c r="F35" s="5" t="s">
        <v>596</v>
      </c>
      <c r="G35" s="5" t="str">
        <f t="shared" si="1"/>
        <v>"#7f6333",</v>
      </c>
      <c r="H35" s="5">
        <v>3</v>
      </c>
      <c r="I35" s="5">
        <v>0.80428954423592403</v>
      </c>
      <c r="J35" s="5">
        <v>9.1907229371008703E-2</v>
      </c>
      <c r="K35" s="9">
        <f t="shared" si="2"/>
        <v>1.036650325910397</v>
      </c>
      <c r="L35" s="5" t="s">
        <v>43</v>
      </c>
      <c r="M35" s="5">
        <v>330</v>
      </c>
      <c r="N35" s="5">
        <v>34</v>
      </c>
      <c r="O35" s="5">
        <v>21944</v>
      </c>
      <c r="P35" s="5">
        <v>5.8673796791443804</v>
      </c>
      <c r="Q35" s="5">
        <v>1</v>
      </c>
      <c r="R35" s="5">
        <v>1</v>
      </c>
      <c r="S35" s="5">
        <v>1</v>
      </c>
    </row>
    <row r="36" spans="1:19" x14ac:dyDescent="0.2">
      <c r="A36" s="5" t="s">
        <v>15</v>
      </c>
      <c r="B36" s="5" t="s">
        <v>455</v>
      </c>
      <c r="C36" s="5" t="s">
        <v>456</v>
      </c>
      <c r="D36" s="5" t="str">
        <f t="shared" si="0"/>
        <v>"midbrain-hindbrain boundary development",</v>
      </c>
      <c r="E36" s="5" t="s">
        <v>350</v>
      </c>
      <c r="F36" s="5" t="s">
        <v>596</v>
      </c>
      <c r="G36" s="5" t="str">
        <f t="shared" si="1"/>
        <v>"#7f6333",</v>
      </c>
      <c r="H36" s="5">
        <v>3</v>
      </c>
      <c r="I36" s="5">
        <v>0.80428954423592403</v>
      </c>
      <c r="J36" s="5">
        <v>9.6547962176385504E-2</v>
      </c>
      <c r="K36" s="9">
        <f t="shared" si="2"/>
        <v>1.0152568883774995</v>
      </c>
      <c r="L36" s="5" t="s">
        <v>44</v>
      </c>
      <c r="M36" s="5">
        <v>330</v>
      </c>
      <c r="N36" s="5">
        <v>35</v>
      </c>
      <c r="O36" s="5">
        <v>21944</v>
      </c>
      <c r="P36" s="5">
        <v>5.6997402597402598</v>
      </c>
      <c r="Q36" s="5">
        <v>1</v>
      </c>
      <c r="R36" s="5">
        <v>1</v>
      </c>
      <c r="S36" s="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BB08-69DD-DF4D-9230-0EE0EC140DCE}">
  <dimension ref="A1:S23"/>
  <sheetViews>
    <sheetView workbookViewId="0">
      <selection activeCell="D2" sqref="D2:G2"/>
    </sheetView>
  </sheetViews>
  <sheetFormatPr baseColWidth="10" defaultRowHeight="16" x14ac:dyDescent="0.2"/>
  <cols>
    <col min="1" max="1" width="18.6640625" bestFit="1" customWidth="1"/>
    <col min="2" max="2" width="11.33203125" bestFit="1" customWidth="1"/>
    <col min="3" max="3" width="33.5" bestFit="1" customWidth="1"/>
    <col min="4" max="4" width="35.6640625" bestFit="1" customWidth="1"/>
    <col min="5" max="5" width="17.3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46</v>
      </c>
      <c r="B2" s="2" t="s">
        <v>351</v>
      </c>
      <c r="C2" s="2" t="s">
        <v>352</v>
      </c>
      <c r="D2" s="2" t="str">
        <f>CHAR(34)&amp;C2&amp;CHAR(34)&amp;","</f>
        <v>"cytoskeleton",</v>
      </c>
      <c r="E2" s="2" t="s">
        <v>394</v>
      </c>
      <c r="F2" s="2" t="s">
        <v>597</v>
      </c>
      <c r="G2" s="2" t="str">
        <f>CHAR(34)&amp;F2&amp;CHAR(34)&amp;","</f>
        <v>"#0da285",</v>
      </c>
      <c r="H2" s="2">
        <v>24</v>
      </c>
      <c r="I2" s="2">
        <v>6.4343163538873904</v>
      </c>
      <c r="J2" s="4">
        <v>4.70243449089806E-4</v>
      </c>
      <c r="K2" s="7">
        <f>-(LOG(J2))</f>
        <v>3.3276772458444959</v>
      </c>
      <c r="L2" s="2" t="s">
        <v>98</v>
      </c>
      <c r="M2" s="2">
        <v>340</v>
      </c>
      <c r="N2" s="2">
        <v>720</v>
      </c>
      <c r="O2" s="2">
        <v>22986</v>
      </c>
      <c r="P2" s="2">
        <v>2.2535294117647</v>
      </c>
      <c r="Q2" s="2">
        <v>0.11302659684802099</v>
      </c>
      <c r="R2" s="2">
        <v>0.10412135992070801</v>
      </c>
      <c r="S2" s="2">
        <v>0.10412135992070801</v>
      </c>
    </row>
    <row r="3" spans="1:19" x14ac:dyDescent="0.2">
      <c r="A3" s="2" t="s">
        <v>46</v>
      </c>
      <c r="B3" s="2" t="s">
        <v>353</v>
      </c>
      <c r="C3" s="2" t="s">
        <v>354</v>
      </c>
      <c r="D3" s="2" t="str">
        <f t="shared" ref="D3:D23" si="0">CHAR(34)&amp;C3&amp;CHAR(34)&amp;","</f>
        <v>"cytoplasm",</v>
      </c>
      <c r="E3" s="2" t="s">
        <v>394</v>
      </c>
      <c r="F3" s="2" t="s">
        <v>597</v>
      </c>
      <c r="G3" s="2" t="str">
        <f t="shared" ref="G3:G23" si="1">CHAR(34)&amp;F3&amp;CHAR(34)&amp;","</f>
        <v>"#0da285",</v>
      </c>
      <c r="H3" s="2">
        <v>106</v>
      </c>
      <c r="I3" s="2">
        <v>28.418230563002599</v>
      </c>
      <c r="J3" s="4">
        <v>8.1663811702516501E-4</v>
      </c>
      <c r="K3" s="7">
        <f t="shared" ref="K3:K23" si="2">-(LOG(J3))</f>
        <v>3.0879703530104305</v>
      </c>
      <c r="L3" s="2" t="s">
        <v>99</v>
      </c>
      <c r="M3" s="2">
        <v>340</v>
      </c>
      <c r="N3" s="2">
        <v>5385</v>
      </c>
      <c r="O3" s="2">
        <v>22986</v>
      </c>
      <c r="P3" s="2">
        <v>1.33077502867442</v>
      </c>
      <c r="Q3" s="2">
        <v>0.188059157576981</v>
      </c>
      <c r="R3" s="2">
        <v>0.10412135992070801</v>
      </c>
      <c r="S3" s="2">
        <v>0.10412135992070801</v>
      </c>
    </row>
    <row r="4" spans="1:19" x14ac:dyDescent="0.2">
      <c r="A4" s="2" t="s">
        <v>46</v>
      </c>
      <c r="B4" s="2" t="s">
        <v>357</v>
      </c>
      <c r="C4" s="2" t="s">
        <v>358</v>
      </c>
      <c r="D4" s="2" t="str">
        <f t="shared" si="0"/>
        <v>"postsynaptic membrane",</v>
      </c>
      <c r="E4" s="2" t="s">
        <v>394</v>
      </c>
      <c r="F4" s="2" t="s">
        <v>597</v>
      </c>
      <c r="G4" s="2" t="str">
        <f t="shared" si="1"/>
        <v>"#0da285",</v>
      </c>
      <c r="H4" s="2">
        <v>9</v>
      </c>
      <c r="I4" s="2">
        <v>2.4128686327077702</v>
      </c>
      <c r="J4" s="2">
        <v>5.7944718285545399E-3</v>
      </c>
      <c r="K4" s="7">
        <f t="shared" si="2"/>
        <v>2.236986144238458</v>
      </c>
      <c r="L4" s="2" t="s">
        <v>100</v>
      </c>
      <c r="M4" s="2">
        <v>340</v>
      </c>
      <c r="N4" s="2">
        <v>182</v>
      </c>
      <c r="O4" s="2">
        <v>22986</v>
      </c>
      <c r="P4" s="2">
        <v>3.34314802844214</v>
      </c>
      <c r="Q4" s="2">
        <v>0.77279165279661999</v>
      </c>
      <c r="R4" s="2">
        <v>0.49253010542713599</v>
      </c>
      <c r="S4" s="2">
        <v>0.49253010542713599</v>
      </c>
    </row>
    <row r="5" spans="1:19" x14ac:dyDescent="0.2">
      <c r="A5" t="s">
        <v>46</v>
      </c>
      <c r="B5" t="s">
        <v>355</v>
      </c>
      <c r="C5" t="s">
        <v>356</v>
      </c>
      <c r="D5" t="str">
        <f t="shared" si="0"/>
        <v>"centrosome",</v>
      </c>
      <c r="E5" t="s">
        <v>394</v>
      </c>
      <c r="F5" t="s">
        <v>597</v>
      </c>
      <c r="G5" t="str">
        <f t="shared" si="1"/>
        <v>"#0da285",</v>
      </c>
      <c r="H5">
        <v>10</v>
      </c>
      <c r="I5">
        <v>2.68096514745308</v>
      </c>
      <c r="J5">
        <v>1.73224065041255E-2</v>
      </c>
      <c r="K5" s="8">
        <f t="shared" si="2"/>
        <v>1.7613917740471992</v>
      </c>
      <c r="L5" t="s">
        <v>49</v>
      </c>
      <c r="M5">
        <v>340</v>
      </c>
      <c r="N5">
        <v>265</v>
      </c>
      <c r="O5">
        <v>22986</v>
      </c>
      <c r="P5">
        <v>2.5511653718091001</v>
      </c>
      <c r="Q5">
        <v>0.98839036222068299</v>
      </c>
      <c r="R5">
        <v>1</v>
      </c>
      <c r="S5">
        <v>1</v>
      </c>
    </row>
    <row r="6" spans="1:19" x14ac:dyDescent="0.2">
      <c r="A6" t="s">
        <v>46</v>
      </c>
      <c r="B6" t="s">
        <v>611</v>
      </c>
      <c r="C6" t="s">
        <v>612</v>
      </c>
      <c r="D6" t="str">
        <f t="shared" si="0"/>
        <v>"lysosome",</v>
      </c>
      <c r="E6" t="s">
        <v>394</v>
      </c>
      <c r="F6" t="s">
        <v>597</v>
      </c>
      <c r="G6" t="str">
        <f t="shared" si="1"/>
        <v>"#0da285",</v>
      </c>
      <c r="H6">
        <v>9</v>
      </c>
      <c r="I6">
        <v>2.4128686327077702</v>
      </c>
      <c r="J6">
        <v>2.3820445803662701E-2</v>
      </c>
      <c r="K6" s="8">
        <f t="shared" si="2"/>
        <v>1.6230501148826708</v>
      </c>
      <c r="L6" t="s">
        <v>101</v>
      </c>
      <c r="M6">
        <v>340</v>
      </c>
      <c r="N6">
        <v>235</v>
      </c>
      <c r="O6">
        <v>22986</v>
      </c>
      <c r="P6">
        <v>2.5891614518147601</v>
      </c>
      <c r="Q6">
        <v>0.99786166695966005</v>
      </c>
      <c r="R6">
        <v>1</v>
      </c>
      <c r="S6">
        <v>1</v>
      </c>
    </row>
    <row r="7" spans="1:19" x14ac:dyDescent="0.2">
      <c r="A7" t="s">
        <v>46</v>
      </c>
      <c r="B7" t="s">
        <v>613</v>
      </c>
      <c r="C7" t="s">
        <v>614</v>
      </c>
      <c r="D7" t="str">
        <f t="shared" si="0"/>
        <v>"endoplasmic reticulum",</v>
      </c>
      <c r="E7" t="s">
        <v>394</v>
      </c>
      <c r="F7" t="s">
        <v>597</v>
      </c>
      <c r="G7" t="str">
        <f t="shared" si="1"/>
        <v>"#0da285",</v>
      </c>
      <c r="H7">
        <v>21</v>
      </c>
      <c r="I7">
        <v>5.6300268096514703</v>
      </c>
      <c r="J7">
        <v>3.4553252510122701E-2</v>
      </c>
      <c r="K7" s="8">
        <f t="shared" si="2"/>
        <v>1.4615110660693849</v>
      </c>
      <c r="L7" t="s">
        <v>102</v>
      </c>
      <c r="M7">
        <v>340</v>
      </c>
      <c r="N7">
        <v>871</v>
      </c>
      <c r="O7">
        <v>22986</v>
      </c>
      <c r="P7">
        <v>1.62999257108124</v>
      </c>
      <c r="Q7">
        <v>0.999872437634438</v>
      </c>
      <c r="R7">
        <v>1</v>
      </c>
      <c r="S7">
        <v>1</v>
      </c>
    </row>
    <row r="8" spans="1:19" x14ac:dyDescent="0.2">
      <c r="A8" t="s">
        <v>46</v>
      </c>
      <c r="B8" t="s">
        <v>615</v>
      </c>
      <c r="C8" t="s">
        <v>616</v>
      </c>
      <c r="D8" t="str">
        <f t="shared" si="0"/>
        <v>"transcription regulator complex",</v>
      </c>
      <c r="E8" t="s">
        <v>394</v>
      </c>
      <c r="F8" t="s">
        <v>597</v>
      </c>
      <c r="G8" t="str">
        <f t="shared" si="1"/>
        <v>"#0da285",</v>
      </c>
      <c r="H8">
        <v>8</v>
      </c>
      <c r="I8">
        <v>2.1447721179624599</v>
      </c>
      <c r="J8">
        <v>3.9960828111711102E-2</v>
      </c>
      <c r="K8" s="8">
        <f t="shared" si="2"/>
        <v>1.398365520430539</v>
      </c>
      <c r="L8" t="s">
        <v>103</v>
      </c>
      <c r="M8">
        <v>340</v>
      </c>
      <c r="N8">
        <v>214</v>
      </c>
      <c r="O8">
        <v>22986</v>
      </c>
      <c r="P8">
        <v>2.5273227047828399</v>
      </c>
      <c r="Q8">
        <v>0.99996954327645504</v>
      </c>
      <c r="R8">
        <v>1</v>
      </c>
      <c r="S8">
        <v>1</v>
      </c>
    </row>
    <row r="9" spans="1:19" x14ac:dyDescent="0.2">
      <c r="A9" t="s">
        <v>46</v>
      </c>
      <c r="B9" t="s">
        <v>379</v>
      </c>
      <c r="C9" t="s">
        <v>380</v>
      </c>
      <c r="D9" t="str">
        <f t="shared" si="0"/>
        <v>"lysosomal membrane",</v>
      </c>
      <c r="E9" t="s">
        <v>394</v>
      </c>
      <c r="F9" t="s">
        <v>597</v>
      </c>
      <c r="G9" t="str">
        <f t="shared" si="1"/>
        <v>"#0da285",</v>
      </c>
      <c r="H9">
        <v>7</v>
      </c>
      <c r="I9">
        <v>1.8766756032171501</v>
      </c>
      <c r="J9">
        <v>4.0723772596496302E-2</v>
      </c>
      <c r="K9" s="8">
        <f t="shared" si="2"/>
        <v>1.3901519963405506</v>
      </c>
      <c r="L9" t="s">
        <v>104</v>
      </c>
      <c r="M9">
        <v>340</v>
      </c>
      <c r="N9">
        <v>170</v>
      </c>
      <c r="O9">
        <v>22986</v>
      </c>
      <c r="P9">
        <v>2.78377162629757</v>
      </c>
      <c r="Q9">
        <v>0.99997513211155198</v>
      </c>
      <c r="R9">
        <v>1</v>
      </c>
      <c r="S9">
        <v>1</v>
      </c>
    </row>
    <row r="10" spans="1:19" x14ac:dyDescent="0.2">
      <c r="A10" t="s">
        <v>46</v>
      </c>
      <c r="B10" t="s">
        <v>361</v>
      </c>
      <c r="C10" t="s">
        <v>362</v>
      </c>
      <c r="D10" t="str">
        <f t="shared" si="0"/>
        <v>"cytoplasmic side of plasma membrane",</v>
      </c>
      <c r="E10" t="s">
        <v>394</v>
      </c>
      <c r="F10" t="s">
        <v>597</v>
      </c>
      <c r="G10" t="str">
        <f t="shared" si="1"/>
        <v>"#0da285",</v>
      </c>
      <c r="H10">
        <v>3</v>
      </c>
      <c r="I10">
        <v>0.80428954423592403</v>
      </c>
      <c r="J10">
        <v>4.83582379156446E-2</v>
      </c>
      <c r="K10" s="8">
        <f t="shared" si="2"/>
        <v>1.3155295324070975</v>
      </c>
      <c r="L10" t="s">
        <v>52</v>
      </c>
      <c r="M10">
        <v>340</v>
      </c>
      <c r="N10">
        <v>24</v>
      </c>
      <c r="O10">
        <v>22986</v>
      </c>
      <c r="P10">
        <v>8.4507352941176404</v>
      </c>
      <c r="Q10">
        <v>0.99999675854064696</v>
      </c>
      <c r="R10">
        <v>1</v>
      </c>
      <c r="S10">
        <v>1</v>
      </c>
    </row>
    <row r="11" spans="1:19" x14ac:dyDescent="0.2">
      <c r="A11" s="5" t="s">
        <v>46</v>
      </c>
      <c r="B11" s="5" t="s">
        <v>365</v>
      </c>
      <c r="C11" s="5" t="s">
        <v>366</v>
      </c>
      <c r="D11" s="5" t="str">
        <f t="shared" si="0"/>
        <v>"insulin receptor complex",</v>
      </c>
      <c r="E11" s="5" t="s">
        <v>394</v>
      </c>
      <c r="F11" s="5" t="s">
        <v>597</v>
      </c>
      <c r="G11" s="5" t="str">
        <f t="shared" si="1"/>
        <v>"#0da285",</v>
      </c>
      <c r="H11" s="5">
        <v>2</v>
      </c>
      <c r="I11" s="5">
        <v>0.53619302949061598</v>
      </c>
      <c r="J11" s="5">
        <v>5.7703856275316601E-2</v>
      </c>
      <c r="K11" s="9">
        <f t="shared" si="2"/>
        <v>1.2387951625266178</v>
      </c>
      <c r="L11" s="5" t="s">
        <v>53</v>
      </c>
      <c r="M11" s="5">
        <v>340</v>
      </c>
      <c r="N11" s="5">
        <v>4</v>
      </c>
      <c r="O11" s="5">
        <v>22986</v>
      </c>
      <c r="P11" s="5">
        <v>33.802941176470497</v>
      </c>
      <c r="Q11" s="5">
        <v>0.99999973830795497</v>
      </c>
      <c r="R11" s="5">
        <v>1</v>
      </c>
      <c r="S11" s="5">
        <v>1</v>
      </c>
    </row>
    <row r="12" spans="1:19" x14ac:dyDescent="0.2">
      <c r="A12" s="5" t="s">
        <v>46</v>
      </c>
      <c r="B12" s="5" t="s">
        <v>363</v>
      </c>
      <c r="C12" s="5" t="s">
        <v>364</v>
      </c>
      <c r="D12" s="5" t="str">
        <f t="shared" si="0"/>
        <v>"GABA-A receptor complex",</v>
      </c>
      <c r="E12" s="5" t="s">
        <v>394</v>
      </c>
      <c r="F12" s="5" t="s">
        <v>597</v>
      </c>
      <c r="G12" s="5" t="str">
        <f t="shared" si="1"/>
        <v>"#0da285",</v>
      </c>
      <c r="H12" s="5">
        <v>3</v>
      </c>
      <c r="I12" s="5">
        <v>0.80428954423592403</v>
      </c>
      <c r="J12" s="5">
        <v>5.9763203811907403E-2</v>
      </c>
      <c r="K12" s="9">
        <f t="shared" si="2"/>
        <v>1.2235661287204949</v>
      </c>
      <c r="L12" s="5" t="s">
        <v>35</v>
      </c>
      <c r="M12" s="5">
        <v>340</v>
      </c>
      <c r="N12" s="5">
        <v>27</v>
      </c>
      <c r="O12" s="5">
        <v>22986</v>
      </c>
      <c r="P12" s="5">
        <v>7.5117647058823502</v>
      </c>
      <c r="Q12" s="5">
        <v>0.99999985020509397</v>
      </c>
      <c r="R12" s="5">
        <v>1</v>
      </c>
      <c r="S12" s="5">
        <v>1</v>
      </c>
    </row>
    <row r="13" spans="1:19" x14ac:dyDescent="0.2">
      <c r="A13" s="5" t="s">
        <v>46</v>
      </c>
      <c r="B13" s="5" t="s">
        <v>359</v>
      </c>
      <c r="C13" s="5" t="s">
        <v>360</v>
      </c>
      <c r="D13" s="5" t="str">
        <f t="shared" si="0"/>
        <v>"plasma membrane",</v>
      </c>
      <c r="E13" s="5" t="s">
        <v>394</v>
      </c>
      <c r="F13" s="5" t="s">
        <v>597</v>
      </c>
      <c r="G13" s="5" t="str">
        <f t="shared" si="1"/>
        <v>"#0da285",</v>
      </c>
      <c r="H13" s="5">
        <v>74</v>
      </c>
      <c r="I13" s="5">
        <v>19.839142091152802</v>
      </c>
      <c r="J13" s="5">
        <v>6.2205062153185497E-2</v>
      </c>
      <c r="K13" s="9">
        <f t="shared" si="2"/>
        <v>1.2061742716477872</v>
      </c>
      <c r="L13" s="5" t="s">
        <v>105</v>
      </c>
      <c r="M13" s="5">
        <v>340</v>
      </c>
      <c r="N13" s="5">
        <v>4173</v>
      </c>
      <c r="O13" s="5">
        <v>22986</v>
      </c>
      <c r="P13" s="5">
        <v>1.19885820611494</v>
      </c>
      <c r="Q13" s="5">
        <v>0.99999992281899097</v>
      </c>
      <c r="R13" s="5">
        <v>1</v>
      </c>
      <c r="S13" s="5">
        <v>1</v>
      </c>
    </row>
    <row r="14" spans="1:19" x14ac:dyDescent="0.2">
      <c r="A14" s="5" t="s">
        <v>46</v>
      </c>
      <c r="B14" s="5" t="s">
        <v>375</v>
      </c>
      <c r="C14" s="5" t="s">
        <v>376</v>
      </c>
      <c r="D14" s="5" t="str">
        <f t="shared" si="0"/>
        <v>"synapse",</v>
      </c>
      <c r="E14" s="5" t="s">
        <v>394</v>
      </c>
      <c r="F14" s="5" t="s">
        <v>597</v>
      </c>
      <c r="G14" s="5" t="str">
        <f t="shared" si="1"/>
        <v>"#0da285",</v>
      </c>
      <c r="H14" s="5">
        <v>13</v>
      </c>
      <c r="I14" s="5">
        <v>3.4852546916890002</v>
      </c>
      <c r="J14" s="5">
        <v>6.6323011566048307E-2</v>
      </c>
      <c r="K14" s="9">
        <f t="shared" si="2"/>
        <v>1.1783357617578161</v>
      </c>
      <c r="L14" s="5" t="s">
        <v>106</v>
      </c>
      <c r="M14" s="5">
        <v>340</v>
      </c>
      <c r="N14" s="5">
        <v>497</v>
      </c>
      <c r="O14" s="5">
        <v>22986</v>
      </c>
      <c r="P14" s="5">
        <v>1.7683631198958401</v>
      </c>
      <c r="Q14" s="5">
        <v>0.99999997487262704</v>
      </c>
      <c r="R14" s="5">
        <v>1</v>
      </c>
      <c r="S14" s="5">
        <v>1</v>
      </c>
    </row>
    <row r="15" spans="1:19" x14ac:dyDescent="0.2">
      <c r="A15" s="5" t="s">
        <v>46</v>
      </c>
      <c r="B15" s="5" t="s">
        <v>617</v>
      </c>
      <c r="C15" s="5" t="s">
        <v>618</v>
      </c>
      <c r="D15" s="5" t="str">
        <f t="shared" si="0"/>
        <v>"endomembrane system",</v>
      </c>
      <c r="E15" s="5" t="s">
        <v>394</v>
      </c>
      <c r="F15" s="5" t="s">
        <v>597</v>
      </c>
      <c r="G15" s="5" t="str">
        <f t="shared" si="1"/>
        <v>"#0da285",</v>
      </c>
      <c r="H15" s="5">
        <v>6</v>
      </c>
      <c r="I15" s="5">
        <v>1.6085790884718401</v>
      </c>
      <c r="J15" s="5">
        <v>6.8574172282628604E-2</v>
      </c>
      <c r="K15" s="9">
        <f t="shared" si="2"/>
        <v>1.1638394257978981</v>
      </c>
      <c r="L15" s="5" t="s">
        <v>107</v>
      </c>
      <c r="M15" s="5">
        <v>340</v>
      </c>
      <c r="N15" s="5">
        <v>148</v>
      </c>
      <c r="O15" s="5">
        <v>22986</v>
      </c>
      <c r="P15" s="5">
        <v>2.7407790143084201</v>
      </c>
      <c r="Q15" s="5">
        <v>0.99999998642279098</v>
      </c>
      <c r="R15" s="5">
        <v>1</v>
      </c>
      <c r="S15" s="5">
        <v>1</v>
      </c>
    </row>
    <row r="16" spans="1:19" x14ac:dyDescent="0.2">
      <c r="A16" s="5" t="s">
        <v>46</v>
      </c>
      <c r="B16" s="5" t="s">
        <v>367</v>
      </c>
      <c r="C16" s="5" t="s">
        <v>368</v>
      </c>
      <c r="D16" s="5" t="str">
        <f t="shared" si="0"/>
        <v>"clathrin-coated endocytic vesicle",</v>
      </c>
      <c r="E16" s="5" t="s">
        <v>394</v>
      </c>
      <c r="F16" s="5" t="s">
        <v>597</v>
      </c>
      <c r="G16" s="5" t="str">
        <f t="shared" si="1"/>
        <v>"#0da285",</v>
      </c>
      <c r="H16" s="5">
        <v>2</v>
      </c>
      <c r="I16" s="5">
        <v>0.53619302949061598</v>
      </c>
      <c r="J16" s="5">
        <v>7.1603359921463994E-2</v>
      </c>
      <c r="K16" s="9">
        <f t="shared" si="2"/>
        <v>1.1450665983469599</v>
      </c>
      <c r="L16" s="5" t="s">
        <v>54</v>
      </c>
      <c r="M16" s="5">
        <v>340</v>
      </c>
      <c r="N16" s="5">
        <v>5</v>
      </c>
      <c r="O16" s="5">
        <v>22986</v>
      </c>
      <c r="P16" s="5">
        <v>27.0423529411764</v>
      </c>
      <c r="Q16" s="5">
        <v>0.99999999408359597</v>
      </c>
      <c r="R16" s="5">
        <v>1</v>
      </c>
      <c r="S16" s="5">
        <v>1</v>
      </c>
    </row>
    <row r="17" spans="1:19" x14ac:dyDescent="0.2">
      <c r="A17" s="5" t="s">
        <v>46</v>
      </c>
      <c r="B17" s="5" t="s">
        <v>619</v>
      </c>
      <c r="C17" s="5" t="s">
        <v>620</v>
      </c>
      <c r="D17" s="5" t="str">
        <f t="shared" si="0"/>
        <v>"monoatomic ion channel complex",</v>
      </c>
      <c r="E17" s="5" t="s">
        <v>394</v>
      </c>
      <c r="F17" s="5" t="s">
        <v>597</v>
      </c>
      <c r="G17" s="5" t="str">
        <f t="shared" si="1"/>
        <v>"#0da285",</v>
      </c>
      <c r="H17" s="5">
        <v>6</v>
      </c>
      <c r="I17" s="5">
        <v>1.6085790884718401</v>
      </c>
      <c r="J17" s="5">
        <v>7.3340224028306505E-2</v>
      </c>
      <c r="K17" s="9">
        <f t="shared" si="2"/>
        <v>1.1346577677581717</v>
      </c>
      <c r="L17" s="5" t="s">
        <v>108</v>
      </c>
      <c r="M17" s="5">
        <v>340</v>
      </c>
      <c r="N17" s="5">
        <v>151</v>
      </c>
      <c r="O17" s="5">
        <v>22986</v>
      </c>
      <c r="P17" s="5">
        <v>2.68632645111024</v>
      </c>
      <c r="Q17" s="5">
        <v>0.99999999632988601</v>
      </c>
      <c r="R17" s="5">
        <v>1</v>
      </c>
      <c r="S17" s="5">
        <v>1</v>
      </c>
    </row>
    <row r="18" spans="1:19" x14ac:dyDescent="0.2">
      <c r="A18" s="5" t="s">
        <v>46</v>
      </c>
      <c r="B18" s="5" t="s">
        <v>369</v>
      </c>
      <c r="C18" s="5" t="s">
        <v>370</v>
      </c>
      <c r="D18" s="5" t="str">
        <f t="shared" si="0"/>
        <v>"postsynaptic density membrane",</v>
      </c>
      <c r="E18" s="5" t="s">
        <v>394</v>
      </c>
      <c r="F18" s="5" t="s">
        <v>597</v>
      </c>
      <c r="G18" s="5" t="str">
        <f t="shared" si="1"/>
        <v>"#0da285",</v>
      </c>
      <c r="H18" s="5">
        <v>4</v>
      </c>
      <c r="I18" s="5">
        <v>1.07238605898123</v>
      </c>
      <c r="J18" s="5">
        <v>8.1917308335743996E-2</v>
      </c>
      <c r="K18" s="9">
        <f t="shared" si="2"/>
        <v>1.0866243263162252</v>
      </c>
      <c r="L18" s="5" t="s">
        <v>55</v>
      </c>
      <c r="M18" s="5">
        <v>340</v>
      </c>
      <c r="N18" s="5">
        <v>69</v>
      </c>
      <c r="O18" s="5">
        <v>22986</v>
      </c>
      <c r="P18" s="5">
        <v>3.9191815856777401</v>
      </c>
      <c r="Q18" s="5">
        <v>0.99999999965734299</v>
      </c>
      <c r="R18" s="5">
        <v>1</v>
      </c>
      <c r="S18" s="5">
        <v>1</v>
      </c>
    </row>
    <row r="19" spans="1:19" x14ac:dyDescent="0.2">
      <c r="A19" s="5" t="s">
        <v>46</v>
      </c>
      <c r="B19" s="5" t="s">
        <v>389</v>
      </c>
      <c r="C19" s="5" t="s">
        <v>390</v>
      </c>
      <c r="D19" s="5" t="str">
        <f t="shared" si="0"/>
        <v>"Golgi apparatus",</v>
      </c>
      <c r="E19" s="5" t="s">
        <v>394</v>
      </c>
      <c r="F19" s="5" t="s">
        <v>597</v>
      </c>
      <c r="G19" s="5" t="str">
        <f t="shared" si="1"/>
        <v>"#0da285",</v>
      </c>
      <c r="H19" s="5">
        <v>16</v>
      </c>
      <c r="I19" s="5">
        <v>4.2895442359249296</v>
      </c>
      <c r="J19" s="5">
        <v>8.7995055435180297E-2</v>
      </c>
      <c r="K19" s="9">
        <f t="shared" si="2"/>
        <v>1.0555417307765143</v>
      </c>
      <c r="L19" s="5" t="s">
        <v>109</v>
      </c>
      <c r="M19" s="5">
        <v>340</v>
      </c>
      <c r="N19" s="5">
        <v>690</v>
      </c>
      <c r="O19" s="5">
        <v>22986</v>
      </c>
      <c r="P19" s="5">
        <v>1.56767263427109</v>
      </c>
      <c r="Q19" s="5">
        <v>0.99999999993700806</v>
      </c>
      <c r="R19" s="5">
        <v>1</v>
      </c>
      <c r="S19" s="5">
        <v>1</v>
      </c>
    </row>
    <row r="20" spans="1:19" x14ac:dyDescent="0.2">
      <c r="A20" s="5" t="s">
        <v>46</v>
      </c>
      <c r="B20" s="5" t="s">
        <v>621</v>
      </c>
      <c r="C20" s="5" t="s">
        <v>622</v>
      </c>
      <c r="D20" s="5" t="str">
        <f t="shared" si="0"/>
        <v>"site of double-strand break",</v>
      </c>
      <c r="E20" s="5" t="s">
        <v>394</v>
      </c>
      <c r="F20" s="5" t="s">
        <v>597</v>
      </c>
      <c r="G20" s="5" t="str">
        <f t="shared" si="1"/>
        <v>"#0da285",</v>
      </c>
      <c r="H20" s="5">
        <v>3</v>
      </c>
      <c r="I20" s="5">
        <v>0.80428954423592403</v>
      </c>
      <c r="J20" s="5">
        <v>8.9385095935893097E-2</v>
      </c>
      <c r="K20" s="9">
        <f t="shared" si="2"/>
        <v>1.0487348893965065</v>
      </c>
      <c r="L20" s="5" t="s">
        <v>110</v>
      </c>
      <c r="M20" s="5">
        <v>340</v>
      </c>
      <c r="N20" s="5">
        <v>34</v>
      </c>
      <c r="O20" s="5">
        <v>22986</v>
      </c>
      <c r="P20" s="5">
        <v>5.9652249134948097</v>
      </c>
      <c r="Q20" s="5">
        <v>0.99999999995730604</v>
      </c>
      <c r="R20" s="5">
        <v>1</v>
      </c>
      <c r="S20" s="5">
        <v>1</v>
      </c>
    </row>
    <row r="21" spans="1:19" x14ac:dyDescent="0.2">
      <c r="A21" s="5" t="s">
        <v>46</v>
      </c>
      <c r="B21" s="5" t="s">
        <v>373</v>
      </c>
      <c r="C21" s="5" t="s">
        <v>374</v>
      </c>
      <c r="D21" s="5" t="str">
        <f t="shared" si="0"/>
        <v>"lamellipodium",</v>
      </c>
      <c r="E21" s="5" t="s">
        <v>394</v>
      </c>
      <c r="F21" s="5" t="s">
        <v>597</v>
      </c>
      <c r="G21" s="5" t="str">
        <f t="shared" si="1"/>
        <v>"#0da285",</v>
      </c>
      <c r="H21" s="5">
        <v>4</v>
      </c>
      <c r="I21" s="5">
        <v>1.07238605898123</v>
      </c>
      <c r="J21" s="5">
        <v>9.03671603832676E-2</v>
      </c>
      <c r="K21" s="9">
        <f t="shared" si="2"/>
        <v>1.0439893643858422</v>
      </c>
      <c r="L21" s="5" t="s">
        <v>57</v>
      </c>
      <c r="M21" s="5">
        <v>340</v>
      </c>
      <c r="N21" s="5">
        <v>72</v>
      </c>
      <c r="O21" s="5">
        <v>22986</v>
      </c>
      <c r="P21" s="5">
        <v>3.7558823529411698</v>
      </c>
      <c r="Q21" s="5">
        <v>0.99999999996757605</v>
      </c>
      <c r="R21" s="5">
        <v>1</v>
      </c>
      <c r="S21" s="5">
        <v>1</v>
      </c>
    </row>
    <row r="22" spans="1:19" x14ac:dyDescent="0.2">
      <c r="A22" s="5" t="s">
        <v>46</v>
      </c>
      <c r="B22" s="5" t="s">
        <v>623</v>
      </c>
      <c r="C22" s="5" t="s">
        <v>624</v>
      </c>
      <c r="D22" s="5" t="str">
        <f t="shared" si="0"/>
        <v>"anchoring junction",</v>
      </c>
      <c r="E22" s="5" t="s">
        <v>394</v>
      </c>
      <c r="F22" s="5" t="s">
        <v>597</v>
      </c>
      <c r="G22" s="5" t="str">
        <f t="shared" si="1"/>
        <v>"#0da285",</v>
      </c>
      <c r="H22" s="5">
        <v>7</v>
      </c>
      <c r="I22" s="5">
        <v>1.8766756032171501</v>
      </c>
      <c r="J22" s="5">
        <v>9.6385879044429704E-2</v>
      </c>
      <c r="K22" s="9">
        <f t="shared" si="2"/>
        <v>1.0159865874902374</v>
      </c>
      <c r="L22" s="5" t="s">
        <v>111</v>
      </c>
      <c r="M22" s="5">
        <v>340</v>
      </c>
      <c r="N22" s="5">
        <v>213</v>
      </c>
      <c r="O22" s="5">
        <v>22986</v>
      </c>
      <c r="P22" s="5">
        <v>2.2217895608947802</v>
      </c>
      <c r="Q22" s="5">
        <v>0.99999999999403399</v>
      </c>
      <c r="R22" s="5">
        <v>1</v>
      </c>
      <c r="S22" s="5">
        <v>1</v>
      </c>
    </row>
    <row r="23" spans="1:19" x14ac:dyDescent="0.2">
      <c r="A23" s="5" t="s">
        <v>46</v>
      </c>
      <c r="B23" s="5" t="s">
        <v>381</v>
      </c>
      <c r="C23" s="5" t="s">
        <v>382</v>
      </c>
      <c r="D23" s="5" t="str">
        <f t="shared" si="0"/>
        <v>"microvillus",</v>
      </c>
      <c r="E23" s="5" t="s">
        <v>394</v>
      </c>
      <c r="F23" s="5" t="s">
        <v>597</v>
      </c>
      <c r="G23" s="5" t="str">
        <f t="shared" si="1"/>
        <v>"#0da285",</v>
      </c>
      <c r="H23" s="5">
        <v>3</v>
      </c>
      <c r="I23" s="5">
        <v>0.80428954423592403</v>
      </c>
      <c r="J23" s="5">
        <v>9.85045618240971E-2</v>
      </c>
      <c r="K23" s="9">
        <f t="shared" si="2"/>
        <v>1.0065436565160208</v>
      </c>
      <c r="L23" s="5" t="s">
        <v>61</v>
      </c>
      <c r="M23" s="5">
        <v>340</v>
      </c>
      <c r="N23" s="5">
        <v>36</v>
      </c>
      <c r="O23" s="5">
        <v>22986</v>
      </c>
      <c r="P23" s="5">
        <v>5.6338235294117602</v>
      </c>
      <c r="Q23" s="5">
        <v>0.99999999999672096</v>
      </c>
      <c r="R23" s="5">
        <v>1</v>
      </c>
      <c r="S23" s="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DF2B-5E87-C34F-82A4-65C07516FC59}">
  <dimension ref="A1:S25"/>
  <sheetViews>
    <sheetView workbookViewId="0">
      <selection activeCell="D2" sqref="D2:G2"/>
    </sheetView>
  </sheetViews>
  <sheetFormatPr baseColWidth="10" defaultRowHeight="16" x14ac:dyDescent="0.2"/>
  <cols>
    <col min="1" max="1" width="19.33203125" bestFit="1" customWidth="1"/>
    <col min="2" max="2" width="11.33203125" bestFit="1" customWidth="1"/>
    <col min="3" max="3" width="48.1640625" bestFit="1" customWidth="1"/>
    <col min="4" max="4" width="29.83203125" bestFit="1" customWidth="1"/>
    <col min="5" max="5" width="17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6" t="s">
        <v>348</v>
      </c>
      <c r="D1" s="6" t="s">
        <v>349</v>
      </c>
      <c r="E1" s="6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67</v>
      </c>
      <c r="B2" s="2" t="s">
        <v>310</v>
      </c>
      <c r="C2" s="2" t="s">
        <v>311</v>
      </c>
      <c r="D2" s="2" t="str">
        <f>CHAR(34)&amp;C2&amp;CHAR(34)&amp;","</f>
        <v>"fibroblast growth factor binding",</v>
      </c>
      <c r="E2" s="2" t="s">
        <v>393</v>
      </c>
      <c r="F2" s="2" t="s">
        <v>598</v>
      </c>
      <c r="G2" s="2" t="str">
        <f>CHAR(34)&amp;F2&amp;CHAR(34)&amp;","</f>
        <v>"#2c72ae",</v>
      </c>
      <c r="H2" s="2">
        <v>4</v>
      </c>
      <c r="I2" s="2">
        <v>1.07238605898123</v>
      </c>
      <c r="J2" s="2">
        <v>1.60518683933917E-3</v>
      </c>
      <c r="K2" s="7">
        <f>-(LOG(J2))</f>
        <v>2.7944744096320733</v>
      </c>
      <c r="L2" s="2" t="s">
        <v>112</v>
      </c>
      <c r="M2" s="2">
        <v>326</v>
      </c>
      <c r="N2" s="2">
        <v>16</v>
      </c>
      <c r="O2" s="2">
        <v>21736</v>
      </c>
      <c r="P2" s="2">
        <v>16.668711656441701</v>
      </c>
      <c r="Q2" s="2">
        <v>0.477440548556196</v>
      </c>
      <c r="R2" s="2">
        <v>0.34726614409380402</v>
      </c>
      <c r="S2" s="2">
        <v>0.34726614409380402</v>
      </c>
    </row>
    <row r="3" spans="1:19" x14ac:dyDescent="0.2">
      <c r="A3" s="2" t="s">
        <v>67</v>
      </c>
      <c r="B3" s="2" t="s">
        <v>300</v>
      </c>
      <c r="C3" s="2" t="s">
        <v>301</v>
      </c>
      <c r="D3" s="2" t="str">
        <f t="shared" ref="D3:D25" si="0">CHAR(34)&amp;C3&amp;CHAR(34)&amp;","</f>
        <v>"ATP binding",</v>
      </c>
      <c r="E3" s="2" t="s">
        <v>393</v>
      </c>
      <c r="F3" s="2" t="s">
        <v>598</v>
      </c>
      <c r="G3" s="2" t="str">
        <f t="shared" ref="G3:G25" si="1">CHAR(34)&amp;F3&amp;CHAR(34)&amp;","</f>
        <v>"#2c72ae",</v>
      </c>
      <c r="H3" s="2">
        <v>46</v>
      </c>
      <c r="I3" s="2">
        <v>12.3324396782841</v>
      </c>
      <c r="J3" s="2">
        <v>1.71913932719705E-3</v>
      </c>
      <c r="K3" s="7">
        <f t="shared" ref="K3:K25" si="2">-(LOG(J3))</f>
        <v>2.7646889246039179</v>
      </c>
      <c r="L3" s="2" t="s">
        <v>113</v>
      </c>
      <c r="M3" s="2">
        <v>326</v>
      </c>
      <c r="N3" s="2">
        <v>1921</v>
      </c>
      <c r="O3" s="2">
        <v>21736</v>
      </c>
      <c r="P3" s="2">
        <v>1.5965866448647901</v>
      </c>
      <c r="Q3" s="2">
        <v>0.50099041358991703</v>
      </c>
      <c r="R3" s="2">
        <v>0.34726614409380402</v>
      </c>
      <c r="S3" s="2">
        <v>0.34726614409380402</v>
      </c>
    </row>
    <row r="4" spans="1:19" x14ac:dyDescent="0.2">
      <c r="A4" s="2" t="s">
        <v>67</v>
      </c>
      <c r="B4" s="2" t="s">
        <v>308</v>
      </c>
      <c r="C4" s="2" t="s">
        <v>309</v>
      </c>
      <c r="D4" s="2" t="str">
        <f t="shared" si="0"/>
        <v>"nucleotide binding",</v>
      </c>
      <c r="E4" s="2" t="s">
        <v>393</v>
      </c>
      <c r="F4" s="2" t="s">
        <v>598</v>
      </c>
      <c r="G4" s="2" t="str">
        <f t="shared" si="1"/>
        <v>"#2c72ae",</v>
      </c>
      <c r="H4" s="2">
        <v>44</v>
      </c>
      <c r="I4" s="2">
        <v>11.796246648793501</v>
      </c>
      <c r="J4" s="2">
        <v>5.3541822350084804E-3</v>
      </c>
      <c r="K4" s="7">
        <f t="shared" si="2"/>
        <v>2.2713068512455168</v>
      </c>
      <c r="L4" s="2" t="s">
        <v>114</v>
      </c>
      <c r="M4" s="2">
        <v>326</v>
      </c>
      <c r="N4" s="2">
        <v>1927</v>
      </c>
      <c r="O4" s="2">
        <v>21736</v>
      </c>
      <c r="P4" s="2">
        <v>1.5224147646776001</v>
      </c>
      <c r="Q4" s="2">
        <v>0.88569685168822898</v>
      </c>
      <c r="R4" s="2">
        <v>0.63457525927467295</v>
      </c>
      <c r="S4" s="2">
        <v>0.63457525927467295</v>
      </c>
    </row>
    <row r="5" spans="1:19" x14ac:dyDescent="0.2">
      <c r="A5" s="2" t="s">
        <v>67</v>
      </c>
      <c r="B5" s="2" t="s">
        <v>302</v>
      </c>
      <c r="C5" s="2" t="s">
        <v>303</v>
      </c>
      <c r="D5" s="2" t="str">
        <f t="shared" si="0"/>
        <v>"transmembrane receptor protein tyrosine kinase activity",</v>
      </c>
      <c r="E5" s="2" t="s">
        <v>393</v>
      </c>
      <c r="F5" s="2" t="s">
        <v>598</v>
      </c>
      <c r="G5" s="2" t="str">
        <f t="shared" si="1"/>
        <v>"#2c72ae",</v>
      </c>
      <c r="H5" s="2">
        <v>6</v>
      </c>
      <c r="I5" s="2">
        <v>1.6085790884718401</v>
      </c>
      <c r="J5" s="2">
        <v>6.2829233591551797E-3</v>
      </c>
      <c r="K5" s="7">
        <f t="shared" si="2"/>
        <v>2.2018382378965073</v>
      </c>
      <c r="L5" s="2" t="s">
        <v>69</v>
      </c>
      <c r="M5" s="2">
        <v>326</v>
      </c>
      <c r="N5" s="2">
        <v>78</v>
      </c>
      <c r="O5" s="2">
        <v>21736</v>
      </c>
      <c r="P5" s="2">
        <v>5.1288343558282197</v>
      </c>
      <c r="Q5" s="2">
        <v>0.92162956839330701</v>
      </c>
      <c r="R5" s="2">
        <v>0.63457525927467295</v>
      </c>
      <c r="S5" s="2">
        <v>0.63457525927467295</v>
      </c>
    </row>
    <row r="6" spans="1:19" x14ac:dyDescent="0.2">
      <c r="A6" s="2" t="s">
        <v>67</v>
      </c>
      <c r="B6" s="2" t="s">
        <v>324</v>
      </c>
      <c r="C6" s="2" t="s">
        <v>325</v>
      </c>
      <c r="D6" s="2" t="str">
        <f t="shared" si="0"/>
        <v>"calcium ion binding",</v>
      </c>
      <c r="E6" s="2" t="s">
        <v>393</v>
      </c>
      <c r="F6" s="2" t="s">
        <v>598</v>
      </c>
      <c r="G6" s="2" t="str">
        <f t="shared" si="1"/>
        <v>"#2c72ae",</v>
      </c>
      <c r="H6" s="2">
        <v>22</v>
      </c>
      <c r="I6" s="2">
        <v>5.8981233243967797</v>
      </c>
      <c r="J6" s="2">
        <v>8.9176774703526394E-3</v>
      </c>
      <c r="K6" s="7">
        <f t="shared" si="2"/>
        <v>2.0497482390260062</v>
      </c>
      <c r="L6" s="2" t="s">
        <v>115</v>
      </c>
      <c r="M6" s="2">
        <v>326</v>
      </c>
      <c r="N6" s="2">
        <v>796</v>
      </c>
      <c r="O6" s="2">
        <v>21736</v>
      </c>
      <c r="P6" s="2">
        <v>1.8427721429232</v>
      </c>
      <c r="Q6" s="2">
        <v>0.97318789698147401</v>
      </c>
      <c r="R6" s="2">
        <v>0.72054833960449305</v>
      </c>
      <c r="S6" s="2">
        <v>0.72054833960449305</v>
      </c>
    </row>
    <row r="7" spans="1:19" x14ac:dyDescent="0.2">
      <c r="A7" t="s">
        <v>67</v>
      </c>
      <c r="B7" t="s">
        <v>304</v>
      </c>
      <c r="C7" t="s">
        <v>305</v>
      </c>
      <c r="D7" t="str">
        <f t="shared" si="0"/>
        <v>"ATP-dependent chromatin remodeler activity",</v>
      </c>
      <c r="E7" t="s">
        <v>393</v>
      </c>
      <c r="F7" t="s">
        <v>598</v>
      </c>
      <c r="G7" t="str">
        <f t="shared" si="1"/>
        <v>"#2c72ae",</v>
      </c>
      <c r="H7">
        <v>4</v>
      </c>
      <c r="I7">
        <v>1.07238605898123</v>
      </c>
      <c r="J7">
        <v>1.5224391486458501E-2</v>
      </c>
      <c r="K7" s="8">
        <f t="shared" si="2"/>
        <v>1.817460056944981</v>
      </c>
      <c r="L7" t="s">
        <v>70</v>
      </c>
      <c r="M7">
        <v>326</v>
      </c>
      <c r="N7">
        <v>35</v>
      </c>
      <c r="O7">
        <v>21736</v>
      </c>
      <c r="P7">
        <v>7.6199824715162103</v>
      </c>
      <c r="Q7">
        <v>0.99796641460772195</v>
      </c>
      <c r="R7">
        <v>0.91870630191039904</v>
      </c>
      <c r="S7">
        <v>0.91870630191039904</v>
      </c>
    </row>
    <row r="8" spans="1:19" x14ac:dyDescent="0.2">
      <c r="A8" t="s">
        <v>67</v>
      </c>
      <c r="B8" t="s">
        <v>316</v>
      </c>
      <c r="C8" t="s">
        <v>317</v>
      </c>
      <c r="D8" t="str">
        <f t="shared" si="0"/>
        <v>"monoatomic ion channel activity",</v>
      </c>
      <c r="E8" t="s">
        <v>393</v>
      </c>
      <c r="F8" t="s">
        <v>598</v>
      </c>
      <c r="G8" t="str">
        <f t="shared" si="1"/>
        <v>"#2c72ae",</v>
      </c>
      <c r="H8">
        <v>9</v>
      </c>
      <c r="I8">
        <v>2.4128686327077702</v>
      </c>
      <c r="J8">
        <v>1.59181784984475E-2</v>
      </c>
      <c r="K8" s="8">
        <f t="shared" si="2"/>
        <v>1.7981066296468344</v>
      </c>
      <c r="L8" t="s">
        <v>116</v>
      </c>
      <c r="M8">
        <v>326</v>
      </c>
      <c r="N8">
        <v>215</v>
      </c>
      <c r="O8">
        <v>21736</v>
      </c>
      <c r="P8">
        <v>2.7910400913111699</v>
      </c>
      <c r="Q8">
        <v>0.99847029185328395</v>
      </c>
      <c r="R8">
        <v>0.91870630191039904</v>
      </c>
      <c r="S8">
        <v>0.91870630191039904</v>
      </c>
    </row>
    <row r="9" spans="1:19" x14ac:dyDescent="0.2">
      <c r="A9" t="s">
        <v>67</v>
      </c>
      <c r="B9" t="s">
        <v>312</v>
      </c>
      <c r="C9" t="s">
        <v>313</v>
      </c>
      <c r="D9" t="str">
        <f t="shared" si="0"/>
        <v>"hydrolase activity",</v>
      </c>
      <c r="E9" t="s">
        <v>393</v>
      </c>
      <c r="F9" t="s">
        <v>598</v>
      </c>
      <c r="G9" t="str">
        <f t="shared" si="1"/>
        <v>"#2c72ae",</v>
      </c>
      <c r="H9">
        <v>34</v>
      </c>
      <c r="I9">
        <v>9.1152815013404798</v>
      </c>
      <c r="J9">
        <v>1.89042205938958E-2</v>
      </c>
      <c r="K9" s="8">
        <f t="shared" si="2"/>
        <v>1.7234412235512733</v>
      </c>
      <c r="L9" t="s">
        <v>117</v>
      </c>
      <c r="M9">
        <v>326</v>
      </c>
      <c r="N9">
        <v>1512</v>
      </c>
      <c r="O9">
        <v>21736</v>
      </c>
      <c r="P9">
        <v>1.4993021066640699</v>
      </c>
      <c r="Q9">
        <v>0.99955186527603701</v>
      </c>
      <c r="R9">
        <v>0.95466313999174002</v>
      </c>
      <c r="S9">
        <v>0.95466313999174002</v>
      </c>
    </row>
    <row r="10" spans="1:19" x14ac:dyDescent="0.2">
      <c r="A10" t="s">
        <v>67</v>
      </c>
      <c r="B10" t="s">
        <v>306</v>
      </c>
      <c r="C10" t="s">
        <v>307</v>
      </c>
      <c r="D10" t="str">
        <f t="shared" si="0"/>
        <v>"peptidase activity",</v>
      </c>
      <c r="E10" t="s">
        <v>393</v>
      </c>
      <c r="F10" t="s">
        <v>598</v>
      </c>
      <c r="G10" t="str">
        <f t="shared" si="1"/>
        <v>"#2c72ae",</v>
      </c>
      <c r="H10">
        <v>14</v>
      </c>
      <c r="I10">
        <v>3.75335120643431</v>
      </c>
      <c r="J10">
        <v>2.4993974093058698E-2</v>
      </c>
      <c r="K10" s="8">
        <f t="shared" si="2"/>
        <v>1.602164684671239</v>
      </c>
      <c r="L10" t="s">
        <v>71</v>
      </c>
      <c r="M10">
        <v>326</v>
      </c>
      <c r="N10">
        <v>469</v>
      </c>
      <c r="O10">
        <v>21736</v>
      </c>
      <c r="P10">
        <v>1.99029392912736</v>
      </c>
      <c r="Q10">
        <v>0.99996377994346897</v>
      </c>
      <c r="R10">
        <v>1</v>
      </c>
      <c r="S10">
        <v>1</v>
      </c>
    </row>
    <row r="11" spans="1:19" x14ac:dyDescent="0.2">
      <c r="A11" t="s">
        <v>67</v>
      </c>
      <c r="B11" t="s">
        <v>320</v>
      </c>
      <c r="C11" t="s">
        <v>321</v>
      </c>
      <c r="D11" t="str">
        <f t="shared" si="0"/>
        <v>"voltage-gated calcium channel activity",</v>
      </c>
      <c r="E11" t="s">
        <v>393</v>
      </c>
      <c r="F11" t="s">
        <v>598</v>
      </c>
      <c r="G11" t="str">
        <f t="shared" si="1"/>
        <v>"#2c72ae",</v>
      </c>
      <c r="H11">
        <v>4</v>
      </c>
      <c r="I11">
        <v>1.07238605898123</v>
      </c>
      <c r="J11">
        <v>4.0727293088722298E-2</v>
      </c>
      <c r="K11" s="8">
        <f t="shared" si="2"/>
        <v>1.3901144540362131</v>
      </c>
      <c r="L11" t="s">
        <v>77</v>
      </c>
      <c r="M11">
        <v>326</v>
      </c>
      <c r="N11">
        <v>51</v>
      </c>
      <c r="O11">
        <v>21736</v>
      </c>
      <c r="P11">
        <v>5.2293997353542601</v>
      </c>
      <c r="Q11">
        <v>0.99999994934718095</v>
      </c>
      <c r="R11">
        <v>1</v>
      </c>
      <c r="S11">
        <v>1</v>
      </c>
    </row>
    <row r="12" spans="1:19" x14ac:dyDescent="0.2">
      <c r="A12" t="s">
        <v>67</v>
      </c>
      <c r="B12" t="s">
        <v>318</v>
      </c>
      <c r="C12" t="s">
        <v>319</v>
      </c>
      <c r="D12" t="str">
        <f t="shared" si="0"/>
        <v>"protein tyrosine kinase activity",</v>
      </c>
      <c r="E12" t="s">
        <v>393</v>
      </c>
      <c r="F12" t="s">
        <v>598</v>
      </c>
      <c r="G12" t="str">
        <f t="shared" si="1"/>
        <v>"#2c72ae",</v>
      </c>
      <c r="H12">
        <v>6</v>
      </c>
      <c r="I12">
        <v>1.6085790884718401</v>
      </c>
      <c r="J12">
        <v>4.3420264537451202E-2</v>
      </c>
      <c r="K12" s="8">
        <f t="shared" si="2"/>
        <v>1.3623075349395135</v>
      </c>
      <c r="L12" t="s">
        <v>69</v>
      </c>
      <c r="M12">
        <v>326</v>
      </c>
      <c r="N12">
        <v>128</v>
      </c>
      <c r="O12">
        <v>21736</v>
      </c>
      <c r="P12">
        <v>3.1253834355828198</v>
      </c>
      <c r="Q12">
        <v>0.99999998373120902</v>
      </c>
      <c r="R12">
        <v>1</v>
      </c>
      <c r="S12">
        <v>1</v>
      </c>
    </row>
    <row r="13" spans="1:19" x14ac:dyDescent="0.2">
      <c r="A13" t="s">
        <v>67</v>
      </c>
      <c r="B13" t="s">
        <v>314</v>
      </c>
      <c r="C13" t="s">
        <v>315</v>
      </c>
      <c r="D13" t="str">
        <f t="shared" si="0"/>
        <v>"GTPase activator activity",</v>
      </c>
      <c r="E13" t="s">
        <v>393</v>
      </c>
      <c r="F13" t="s">
        <v>598</v>
      </c>
      <c r="G13" t="str">
        <f t="shared" si="1"/>
        <v>"#2c72ae",</v>
      </c>
      <c r="H13">
        <v>9</v>
      </c>
      <c r="I13">
        <v>2.4128686327077702</v>
      </c>
      <c r="J13">
        <v>4.4658806527537301E-2</v>
      </c>
      <c r="K13" s="8">
        <f t="shared" si="2"/>
        <v>1.3500928872975102</v>
      </c>
      <c r="L13" t="s">
        <v>75</v>
      </c>
      <c r="M13">
        <v>326</v>
      </c>
      <c r="N13">
        <v>263</v>
      </c>
      <c r="O13">
        <v>21736</v>
      </c>
      <c r="P13">
        <v>2.2816487438475299</v>
      </c>
      <c r="Q13">
        <v>0.99999999036091403</v>
      </c>
      <c r="R13">
        <v>1</v>
      </c>
      <c r="S13">
        <v>1</v>
      </c>
    </row>
    <row r="14" spans="1:19" x14ac:dyDescent="0.2">
      <c r="A14" t="s">
        <v>67</v>
      </c>
      <c r="B14" t="s">
        <v>322</v>
      </c>
      <c r="C14" t="s">
        <v>323</v>
      </c>
      <c r="D14" t="str">
        <f t="shared" si="0"/>
        <v>"calcium channel activity",</v>
      </c>
      <c r="E14" t="s">
        <v>393</v>
      </c>
      <c r="F14" t="s">
        <v>598</v>
      </c>
      <c r="G14" t="str">
        <f t="shared" si="1"/>
        <v>"#2c72ae",</v>
      </c>
      <c r="H14">
        <v>5</v>
      </c>
      <c r="I14">
        <v>1.34048257372654</v>
      </c>
      <c r="J14">
        <v>4.92934416887034E-2</v>
      </c>
      <c r="K14" s="8">
        <f t="shared" si="2"/>
        <v>1.3072108581643955</v>
      </c>
      <c r="L14" t="s">
        <v>33</v>
      </c>
      <c r="M14">
        <v>326</v>
      </c>
      <c r="N14">
        <v>92</v>
      </c>
      <c r="O14">
        <v>21736</v>
      </c>
      <c r="P14">
        <v>3.6236329687916702</v>
      </c>
      <c r="Q14">
        <v>0.999999998648606</v>
      </c>
      <c r="R14">
        <v>1</v>
      </c>
      <c r="S14">
        <v>1</v>
      </c>
    </row>
    <row r="15" spans="1:19" x14ac:dyDescent="0.2">
      <c r="A15" s="5" t="s">
        <v>67</v>
      </c>
      <c r="B15" s="5" t="s">
        <v>625</v>
      </c>
      <c r="C15" s="5" t="s">
        <v>626</v>
      </c>
      <c r="D15" s="5" t="str">
        <f t="shared" si="0"/>
        <v>"L-amino acid transmembrane transporter activity",</v>
      </c>
      <c r="E15" s="5" t="s">
        <v>393</v>
      </c>
      <c r="F15" s="5" t="s">
        <v>598</v>
      </c>
      <c r="G15" s="5" t="str">
        <f t="shared" si="1"/>
        <v>"#2c72ae",</v>
      </c>
      <c r="H15" s="5">
        <v>3</v>
      </c>
      <c r="I15" s="5">
        <v>0.80428954423592403</v>
      </c>
      <c r="J15" s="5">
        <v>5.3346881348056402E-2</v>
      </c>
      <c r="K15" s="9">
        <f t="shared" si="2"/>
        <v>1.2728909642979691</v>
      </c>
      <c r="L15" s="5" t="s">
        <v>118</v>
      </c>
      <c r="M15" s="5">
        <v>326</v>
      </c>
      <c r="N15" s="5">
        <v>25</v>
      </c>
      <c r="O15" s="5">
        <v>21736</v>
      </c>
      <c r="P15" s="5">
        <v>8.0009815950920196</v>
      </c>
      <c r="Q15" s="5">
        <v>0.99999999975950205</v>
      </c>
      <c r="R15" s="5">
        <v>1</v>
      </c>
      <c r="S15" s="5">
        <v>1</v>
      </c>
    </row>
    <row r="16" spans="1:19" x14ac:dyDescent="0.2">
      <c r="A16" s="5" t="s">
        <v>67</v>
      </c>
      <c r="B16" s="5" t="s">
        <v>346</v>
      </c>
      <c r="C16" s="5" t="s">
        <v>347</v>
      </c>
      <c r="D16" s="5" t="str">
        <f t="shared" si="0"/>
        <v>"metal ion binding",</v>
      </c>
      <c r="E16" s="5" t="s">
        <v>393</v>
      </c>
      <c r="F16" s="5" t="s">
        <v>598</v>
      </c>
      <c r="G16" s="5" t="str">
        <f t="shared" si="1"/>
        <v>"#2c72ae",</v>
      </c>
      <c r="H16" s="5">
        <v>70</v>
      </c>
      <c r="I16" s="5">
        <v>18.7667560321715</v>
      </c>
      <c r="J16" s="5">
        <v>5.7139031680645901E-2</v>
      </c>
      <c r="K16" s="9">
        <f t="shared" si="2"/>
        <v>1.2430671237592881</v>
      </c>
      <c r="L16" s="5" t="s">
        <v>119</v>
      </c>
      <c r="M16" s="5">
        <v>326</v>
      </c>
      <c r="N16" s="5">
        <v>3850</v>
      </c>
      <c r="O16" s="5">
        <v>21736</v>
      </c>
      <c r="P16" s="5">
        <v>1.2122699386503</v>
      </c>
      <c r="Q16" s="5">
        <v>0.99999999995248201</v>
      </c>
      <c r="R16" s="5">
        <v>1</v>
      </c>
      <c r="S16" s="5">
        <v>1</v>
      </c>
    </row>
    <row r="17" spans="1:19" x14ac:dyDescent="0.2">
      <c r="A17" s="5" t="s">
        <v>67</v>
      </c>
      <c r="B17" s="5" t="s">
        <v>627</v>
      </c>
      <c r="C17" s="5" t="s">
        <v>628</v>
      </c>
      <c r="D17" s="5" t="str">
        <f t="shared" si="0"/>
        <v>"protein phosphatase inhibitor activity",</v>
      </c>
      <c r="E17" s="5" t="s">
        <v>393</v>
      </c>
      <c r="F17" s="5" t="s">
        <v>598</v>
      </c>
      <c r="G17" s="5" t="str">
        <f t="shared" si="1"/>
        <v>"#2c72ae",</v>
      </c>
      <c r="H17" s="5">
        <v>3</v>
      </c>
      <c r="I17" s="5">
        <v>0.80428954423592403</v>
      </c>
      <c r="J17" s="5">
        <v>5.7236264961662398E-2</v>
      </c>
      <c r="K17" s="9">
        <f t="shared" si="2"/>
        <v>1.2423287145255573</v>
      </c>
      <c r="L17" s="5" t="s">
        <v>120</v>
      </c>
      <c r="M17" s="5">
        <v>326</v>
      </c>
      <c r="N17" s="5">
        <v>26</v>
      </c>
      <c r="O17" s="5">
        <v>21736</v>
      </c>
      <c r="P17" s="5">
        <v>7.6932515337423304</v>
      </c>
      <c r="Q17" s="5">
        <v>0.99999999995442101</v>
      </c>
      <c r="R17" s="5">
        <v>1</v>
      </c>
      <c r="S17" s="5">
        <v>1</v>
      </c>
    </row>
    <row r="18" spans="1:19" x14ac:dyDescent="0.2">
      <c r="A18" s="5" t="s">
        <v>67</v>
      </c>
      <c r="B18" s="5" t="s">
        <v>328</v>
      </c>
      <c r="C18" s="5" t="s">
        <v>329</v>
      </c>
      <c r="D18" s="5" t="str">
        <f t="shared" si="0"/>
        <v>"insulin receptor substrate binding",</v>
      </c>
      <c r="E18" s="5" t="s">
        <v>393</v>
      </c>
      <c r="F18" s="5" t="s">
        <v>598</v>
      </c>
      <c r="G18" s="5" t="str">
        <f t="shared" si="1"/>
        <v>"#2c72ae",</v>
      </c>
      <c r="H18" s="5">
        <v>2</v>
      </c>
      <c r="I18" s="5">
        <v>0.53619302949061598</v>
      </c>
      <c r="J18" s="5">
        <v>5.8484477809637399E-2</v>
      </c>
      <c r="K18" s="9">
        <f t="shared" si="2"/>
        <v>1.2329593834242039</v>
      </c>
      <c r="L18" s="5" t="s">
        <v>53</v>
      </c>
      <c r="M18" s="5">
        <v>326</v>
      </c>
      <c r="N18" s="5">
        <v>4</v>
      </c>
      <c r="O18" s="5">
        <v>21736</v>
      </c>
      <c r="P18" s="5">
        <v>33.337423312883402</v>
      </c>
      <c r="Q18" s="5">
        <v>0.99999999997331201</v>
      </c>
      <c r="R18" s="5">
        <v>1</v>
      </c>
      <c r="S18" s="5">
        <v>1</v>
      </c>
    </row>
    <row r="19" spans="1:19" x14ac:dyDescent="0.2">
      <c r="A19" s="5" t="s">
        <v>67</v>
      </c>
      <c r="B19" s="5" t="s">
        <v>326</v>
      </c>
      <c r="C19" s="5" t="s">
        <v>327</v>
      </c>
      <c r="D19" s="5" t="str">
        <f t="shared" si="0"/>
        <v>"insulin receptor activity",</v>
      </c>
      <c r="E19" s="5" t="s">
        <v>393</v>
      </c>
      <c r="F19" s="5" t="s">
        <v>598</v>
      </c>
      <c r="G19" s="5" t="str">
        <f t="shared" si="1"/>
        <v>"#2c72ae",</v>
      </c>
      <c r="H19" s="5">
        <v>2</v>
      </c>
      <c r="I19" s="5">
        <v>0.53619302949061598</v>
      </c>
      <c r="J19" s="5">
        <v>5.8484477809637399E-2</v>
      </c>
      <c r="K19" s="9">
        <f t="shared" si="2"/>
        <v>1.2329593834242039</v>
      </c>
      <c r="L19" s="5" t="s">
        <v>53</v>
      </c>
      <c r="M19" s="5">
        <v>326</v>
      </c>
      <c r="N19" s="5">
        <v>4</v>
      </c>
      <c r="O19" s="5">
        <v>21736</v>
      </c>
      <c r="P19" s="5">
        <v>33.337423312883402</v>
      </c>
      <c r="Q19" s="5">
        <v>0.99999999997331201</v>
      </c>
      <c r="R19" s="5">
        <v>1</v>
      </c>
      <c r="S19" s="5">
        <v>1</v>
      </c>
    </row>
    <row r="20" spans="1:19" x14ac:dyDescent="0.2">
      <c r="A20" s="5" t="s">
        <v>67</v>
      </c>
      <c r="B20" s="5" t="s">
        <v>629</v>
      </c>
      <c r="C20" s="5" t="s">
        <v>630</v>
      </c>
      <c r="D20" s="5" t="str">
        <f t="shared" si="0"/>
        <v>"protein kinase activity",</v>
      </c>
      <c r="E20" s="5" t="s">
        <v>393</v>
      </c>
      <c r="F20" s="5" t="s">
        <v>598</v>
      </c>
      <c r="G20" s="5" t="str">
        <f t="shared" si="1"/>
        <v>"#2c72ae",</v>
      </c>
      <c r="H20" s="5">
        <v>17</v>
      </c>
      <c r="I20" s="5">
        <v>4.5576407506702399</v>
      </c>
      <c r="J20" s="5">
        <v>6.0960238695892899E-2</v>
      </c>
      <c r="K20" s="9">
        <f t="shared" si="2"/>
        <v>1.2149533411417797</v>
      </c>
      <c r="L20" s="5" t="s">
        <v>121</v>
      </c>
      <c r="M20" s="5">
        <v>326</v>
      </c>
      <c r="N20" s="5">
        <v>697</v>
      </c>
      <c r="O20" s="5">
        <v>21736</v>
      </c>
      <c r="P20" s="5">
        <v>1.6262157713601599</v>
      </c>
      <c r="Q20" s="5">
        <v>0.99999999999078804</v>
      </c>
      <c r="R20" s="5">
        <v>1</v>
      </c>
      <c r="S20" s="5">
        <v>1</v>
      </c>
    </row>
    <row r="21" spans="1:19" x14ac:dyDescent="0.2">
      <c r="A21" s="5" t="s">
        <v>67</v>
      </c>
      <c r="B21" s="5" t="s">
        <v>338</v>
      </c>
      <c r="C21" s="5" t="s">
        <v>339</v>
      </c>
      <c r="D21" s="5" t="str">
        <f t="shared" si="0"/>
        <v>"kinase activity",</v>
      </c>
      <c r="E21" s="5" t="s">
        <v>393</v>
      </c>
      <c r="F21" s="5" t="s">
        <v>598</v>
      </c>
      <c r="G21" s="5" t="str">
        <f t="shared" si="1"/>
        <v>"#2c72ae",</v>
      </c>
      <c r="H21" s="5">
        <v>22</v>
      </c>
      <c r="I21" s="5">
        <v>5.8981233243967797</v>
      </c>
      <c r="J21" s="5">
        <v>6.4338911727616396E-2</v>
      </c>
      <c r="K21" s="9">
        <f t="shared" si="2"/>
        <v>1.1915262893260008</v>
      </c>
      <c r="L21" s="5" t="s">
        <v>122</v>
      </c>
      <c r="M21" s="5">
        <v>326</v>
      </c>
      <c r="N21" s="5">
        <v>984</v>
      </c>
      <c r="O21" s="5">
        <v>21736</v>
      </c>
      <c r="P21" s="5">
        <v>1.4906977904134799</v>
      </c>
      <c r="Q21" s="5">
        <v>0.99999999999785205</v>
      </c>
      <c r="R21" s="5">
        <v>1</v>
      </c>
      <c r="S21" s="5">
        <v>1</v>
      </c>
    </row>
    <row r="22" spans="1:19" x14ac:dyDescent="0.2">
      <c r="A22" s="5" t="s">
        <v>67</v>
      </c>
      <c r="B22" s="5" t="s">
        <v>330</v>
      </c>
      <c r="C22" s="5" t="s">
        <v>331</v>
      </c>
      <c r="D22" s="5" t="str">
        <f t="shared" si="0"/>
        <v>"GABA-A receptor activity",</v>
      </c>
      <c r="E22" s="5" t="s">
        <v>393</v>
      </c>
      <c r="F22" s="5" t="s">
        <v>598</v>
      </c>
      <c r="G22" s="5" t="str">
        <f t="shared" si="1"/>
        <v>"#2c72ae",</v>
      </c>
      <c r="H22" s="5">
        <v>3</v>
      </c>
      <c r="I22" s="5">
        <v>0.80428954423592403</v>
      </c>
      <c r="J22" s="5">
        <v>6.5297513983817099E-2</v>
      </c>
      <c r="K22" s="9">
        <f t="shared" si="2"/>
        <v>1.185103352931089</v>
      </c>
      <c r="L22" s="5" t="s">
        <v>35</v>
      </c>
      <c r="M22" s="5">
        <v>326</v>
      </c>
      <c r="N22" s="5">
        <v>28</v>
      </c>
      <c r="O22" s="5">
        <v>21736</v>
      </c>
      <c r="P22" s="5">
        <v>7.1437335670464499</v>
      </c>
      <c r="Q22" s="5">
        <v>0.99999999999858002</v>
      </c>
      <c r="R22" s="5">
        <v>1</v>
      </c>
      <c r="S22" s="5">
        <v>1</v>
      </c>
    </row>
    <row r="23" spans="1:19" x14ac:dyDescent="0.2">
      <c r="A23" s="5" t="s">
        <v>67</v>
      </c>
      <c r="B23" s="5" t="s">
        <v>332</v>
      </c>
      <c r="C23" s="5" t="s">
        <v>333</v>
      </c>
      <c r="D23" s="5" t="str">
        <f t="shared" si="0"/>
        <v>"armadillo repeat domain binding",</v>
      </c>
      <c r="E23" s="5" t="s">
        <v>393</v>
      </c>
      <c r="F23" s="5" t="s">
        <v>598</v>
      </c>
      <c r="G23" s="5" t="str">
        <f t="shared" si="1"/>
        <v>"#2c72ae",</v>
      </c>
      <c r="H23" s="5">
        <v>2</v>
      </c>
      <c r="I23" s="5">
        <v>0.53619302949061598</v>
      </c>
      <c r="J23" s="5">
        <v>7.2564753197679396E-2</v>
      </c>
      <c r="K23" s="9">
        <f t="shared" si="2"/>
        <v>1.1392742774927003</v>
      </c>
      <c r="L23" s="5" t="s">
        <v>79</v>
      </c>
      <c r="M23" s="5">
        <v>326</v>
      </c>
      <c r="N23" s="5">
        <v>5</v>
      </c>
      <c r="O23" s="5">
        <v>21736</v>
      </c>
      <c r="P23" s="5">
        <v>26.669938650306701</v>
      </c>
      <c r="Q23" s="5">
        <v>0.99999999999993905</v>
      </c>
      <c r="R23" s="5">
        <v>1</v>
      </c>
      <c r="S23" s="5">
        <v>1</v>
      </c>
    </row>
    <row r="24" spans="1:19" x14ac:dyDescent="0.2">
      <c r="A24" s="5" t="s">
        <v>67</v>
      </c>
      <c r="B24" s="5" t="s">
        <v>336</v>
      </c>
      <c r="C24" s="5" t="s">
        <v>337</v>
      </c>
      <c r="D24" s="5" t="str">
        <f t="shared" si="0"/>
        <v>"synaptic receptor adaptor activity",</v>
      </c>
      <c r="E24" s="5" t="s">
        <v>393</v>
      </c>
      <c r="F24" s="5" t="s">
        <v>598</v>
      </c>
      <c r="G24" s="5" t="str">
        <f t="shared" si="1"/>
        <v>"#2c72ae",</v>
      </c>
      <c r="H24" s="5">
        <v>2</v>
      </c>
      <c r="I24" s="5">
        <v>0.53619302949061598</v>
      </c>
      <c r="J24" s="5">
        <v>8.6435097646990602E-2</v>
      </c>
      <c r="K24" s="9">
        <f t="shared" si="2"/>
        <v>1.0633098730386394</v>
      </c>
      <c r="L24" s="5" t="s">
        <v>81</v>
      </c>
      <c r="M24" s="5">
        <v>326</v>
      </c>
      <c r="N24" s="5">
        <v>6</v>
      </c>
      <c r="O24" s="5">
        <v>21736</v>
      </c>
      <c r="P24" s="5">
        <v>22.224948875255599</v>
      </c>
      <c r="Q24" s="5">
        <v>0.999999999999999</v>
      </c>
      <c r="R24" s="5">
        <v>1</v>
      </c>
      <c r="S24" s="5">
        <v>1</v>
      </c>
    </row>
    <row r="25" spans="1:19" x14ac:dyDescent="0.2">
      <c r="A25" s="5" t="s">
        <v>67</v>
      </c>
      <c r="B25" s="5" t="s">
        <v>631</v>
      </c>
      <c r="C25" s="5" t="s">
        <v>632</v>
      </c>
      <c r="D25" s="5" t="str">
        <f t="shared" si="0"/>
        <v>"guanyl-nucleotide exchange factor activity",</v>
      </c>
      <c r="E25" s="5" t="s">
        <v>393</v>
      </c>
      <c r="F25" s="5" t="s">
        <v>598</v>
      </c>
      <c r="G25" s="5" t="str">
        <f t="shared" si="1"/>
        <v>"#2c72ae",</v>
      </c>
      <c r="H25" s="5">
        <v>8</v>
      </c>
      <c r="I25" s="5">
        <v>2.1447721179624599</v>
      </c>
      <c r="J25" s="5">
        <v>8.9382624577486705E-2</v>
      </c>
      <c r="K25" s="9">
        <f t="shared" si="2"/>
        <v>1.0487468971271605</v>
      </c>
      <c r="L25" s="5" t="s">
        <v>123</v>
      </c>
      <c r="M25" s="5">
        <v>326</v>
      </c>
      <c r="N25" s="5">
        <v>255</v>
      </c>
      <c r="O25" s="5">
        <v>21736</v>
      </c>
      <c r="P25" s="5">
        <v>2.0917598941416999</v>
      </c>
      <c r="Q25" s="5">
        <v>1</v>
      </c>
      <c r="R25" s="5">
        <v>1</v>
      </c>
      <c r="S25" s="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2BAA-9FAA-624E-8FB6-07F570B1B606}">
  <dimension ref="A1:S33"/>
  <sheetViews>
    <sheetView topLeftCell="D1" workbookViewId="0">
      <selection activeCell="K1" sqref="K1:K2"/>
    </sheetView>
  </sheetViews>
  <sheetFormatPr baseColWidth="10" defaultRowHeight="16" x14ac:dyDescent="0.2"/>
  <cols>
    <col min="1" max="1" width="18.83203125" bestFit="1" customWidth="1"/>
    <col min="2" max="2" width="11.33203125" bestFit="1" customWidth="1"/>
    <col min="3" max="3" width="74.6640625" bestFit="1" customWidth="1"/>
    <col min="4" max="4" width="76.83203125" bestFit="1" customWidth="1"/>
    <col min="5" max="5" width="15.8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style="8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15</v>
      </c>
      <c r="B2" s="2" t="s">
        <v>395</v>
      </c>
      <c r="C2" s="2" t="s">
        <v>396</v>
      </c>
      <c r="D2" s="2" t="str">
        <f>CHAR(34)&amp;C2&amp;CHAR(34)&amp;","</f>
        <v>"cell surface receptor protein tyrosine kinase signaling pathway",</v>
      </c>
      <c r="E2" s="2" t="s">
        <v>350</v>
      </c>
      <c r="F2" s="2" t="s">
        <v>596</v>
      </c>
      <c r="G2" s="2" t="str">
        <f>CHAR(34)&amp;F2&amp;CHAR(34)&amp;","</f>
        <v>"#7f6333",</v>
      </c>
      <c r="H2" s="2">
        <v>9</v>
      </c>
      <c r="I2" s="2">
        <v>2.6162790697674398</v>
      </c>
      <c r="J2" s="4">
        <v>2.8756410880773601E-4</v>
      </c>
      <c r="K2" s="7">
        <f>-(LOG(J2))</f>
        <v>3.5412653196780481</v>
      </c>
      <c r="L2" s="2" t="s">
        <v>16</v>
      </c>
      <c r="M2" s="2">
        <v>305</v>
      </c>
      <c r="N2" s="2">
        <v>121</v>
      </c>
      <c r="O2" s="2">
        <v>21944</v>
      </c>
      <c r="P2" s="2">
        <v>5.3514699905161898</v>
      </c>
      <c r="Q2" s="2">
        <v>0.19703404925499099</v>
      </c>
      <c r="R2" s="2">
        <v>0.11779190516371101</v>
      </c>
      <c r="S2" s="2">
        <v>0.11779190516371101</v>
      </c>
    </row>
    <row r="3" spans="1:19" x14ac:dyDescent="0.2">
      <c r="A3" s="2" t="s">
        <v>15</v>
      </c>
      <c r="B3" s="2" t="s">
        <v>397</v>
      </c>
      <c r="C3" s="2" t="s">
        <v>398</v>
      </c>
      <c r="D3" s="2" t="str">
        <f t="shared" ref="D3:D33" si="0">CHAR(34)&amp;C3&amp;CHAR(34)&amp;","</f>
        <v>"glial cell development",</v>
      </c>
      <c r="E3" s="2" t="s">
        <v>350</v>
      </c>
      <c r="F3" s="2" t="s">
        <v>596</v>
      </c>
      <c r="G3" s="2" t="str">
        <f t="shared" ref="G3:G33" si="1">CHAR(34)&amp;F3&amp;CHAR(34)&amp;","</f>
        <v>"#7f6333",</v>
      </c>
      <c r="H3" s="2">
        <v>6</v>
      </c>
      <c r="I3" s="2">
        <v>1.7441860465116199</v>
      </c>
      <c r="J3" s="4">
        <v>3.0875990868600597E-4</v>
      </c>
      <c r="K3" s="7">
        <f t="shared" ref="K3:K33" si="2">-(LOG(J3))</f>
        <v>3.5103790961821426</v>
      </c>
      <c r="L3" s="2" t="s">
        <v>17</v>
      </c>
      <c r="M3" s="2">
        <v>305</v>
      </c>
      <c r="N3" s="2">
        <v>43</v>
      </c>
      <c r="O3" s="2">
        <v>21944</v>
      </c>
      <c r="P3" s="2">
        <v>10.039191765154399</v>
      </c>
      <c r="Q3" s="2">
        <v>0.20991930031112599</v>
      </c>
      <c r="R3" s="2">
        <v>0.11779190516371101</v>
      </c>
      <c r="S3" s="2">
        <v>0.11779190516371101</v>
      </c>
    </row>
    <row r="4" spans="1:19" x14ac:dyDescent="0.2">
      <c r="A4" s="2" t="s">
        <v>15</v>
      </c>
      <c r="B4" s="2" t="s">
        <v>399</v>
      </c>
      <c r="C4" s="2" t="s">
        <v>400</v>
      </c>
      <c r="D4" s="2" t="str">
        <f t="shared" si="0"/>
        <v>"retina development in camera-type eye",</v>
      </c>
      <c r="E4" s="2" t="s">
        <v>350</v>
      </c>
      <c r="F4" s="2" t="s">
        <v>596</v>
      </c>
      <c r="G4" s="2" t="str">
        <f t="shared" si="1"/>
        <v>"#7f6333",</v>
      </c>
      <c r="H4" s="2">
        <v>8</v>
      </c>
      <c r="I4" s="2">
        <v>2.3255813953488298</v>
      </c>
      <c r="J4" s="2">
        <v>3.7049771636315102E-3</v>
      </c>
      <c r="K4" s="7">
        <f t="shared" si="2"/>
        <v>2.4312144645373888</v>
      </c>
      <c r="L4" s="2" t="s">
        <v>18</v>
      </c>
      <c r="M4" s="2">
        <v>305</v>
      </c>
      <c r="N4" s="2">
        <v>142</v>
      </c>
      <c r="O4" s="2">
        <v>21944</v>
      </c>
      <c r="P4" s="2">
        <v>4.0533825906257199</v>
      </c>
      <c r="Q4" s="2">
        <v>0.94111373116166097</v>
      </c>
      <c r="R4" s="2">
        <v>0.942299191950281</v>
      </c>
      <c r="S4" s="2">
        <v>0.942299191950281</v>
      </c>
    </row>
    <row r="5" spans="1:19" x14ac:dyDescent="0.2">
      <c r="A5" s="2" t="s">
        <v>15</v>
      </c>
      <c r="B5" s="2" t="s">
        <v>401</v>
      </c>
      <c r="C5" s="2" t="s">
        <v>402</v>
      </c>
      <c r="D5" s="2" t="str">
        <f t="shared" si="0"/>
        <v>"endocytosis",</v>
      </c>
      <c r="E5" s="2" t="s">
        <v>350</v>
      </c>
      <c r="F5" s="2" t="s">
        <v>596</v>
      </c>
      <c r="G5" s="2" t="str">
        <f t="shared" si="1"/>
        <v>"#7f6333",</v>
      </c>
      <c r="H5" s="2">
        <v>8</v>
      </c>
      <c r="I5" s="2">
        <v>2.3255813953488298</v>
      </c>
      <c r="J5" s="2">
        <v>5.7553250713704004E-3</v>
      </c>
      <c r="K5" s="7">
        <f t="shared" si="2"/>
        <v>2.2399301415884283</v>
      </c>
      <c r="L5" s="2" t="s">
        <v>19</v>
      </c>
      <c r="M5" s="2">
        <v>305</v>
      </c>
      <c r="N5" s="2">
        <v>154</v>
      </c>
      <c r="O5" s="2">
        <v>21944</v>
      </c>
      <c r="P5" s="2">
        <v>3.7375345965509901</v>
      </c>
      <c r="Q5" s="2">
        <v>0.98777165232067299</v>
      </c>
      <c r="R5" s="2">
        <v>0.99333239006547502</v>
      </c>
      <c r="S5" s="2">
        <v>0.99333239006547502</v>
      </c>
    </row>
    <row r="6" spans="1:19" x14ac:dyDescent="0.2">
      <c r="A6" s="2" t="s">
        <v>15</v>
      </c>
      <c r="B6" s="2" t="s">
        <v>403</v>
      </c>
      <c r="C6" s="2" t="s">
        <v>404</v>
      </c>
      <c r="D6" s="2" t="str">
        <f t="shared" si="0"/>
        <v>"positive regulation of kinase activity",</v>
      </c>
      <c r="E6" s="2" t="s">
        <v>350</v>
      </c>
      <c r="F6" s="2" t="s">
        <v>596</v>
      </c>
      <c r="G6" s="2" t="str">
        <f t="shared" si="1"/>
        <v>"#7f6333",</v>
      </c>
      <c r="H6" s="2">
        <v>5</v>
      </c>
      <c r="I6" s="2">
        <v>1.4534883720930201</v>
      </c>
      <c r="J6" s="2">
        <v>9.0430642925635706E-3</v>
      </c>
      <c r="K6" s="7">
        <f t="shared" si="2"/>
        <v>2.0436843814880845</v>
      </c>
      <c r="L6" s="2" t="s">
        <v>20</v>
      </c>
      <c r="M6" s="2">
        <v>305</v>
      </c>
      <c r="N6" s="2">
        <v>59</v>
      </c>
      <c r="O6" s="2">
        <v>21944</v>
      </c>
      <c r="P6" s="2">
        <v>6.0972492358988601</v>
      </c>
      <c r="Q6" s="2">
        <v>0.99902321633025304</v>
      </c>
      <c r="R6" s="2">
        <v>0.99333239006547502</v>
      </c>
      <c r="S6" s="2">
        <v>0.99333239006547502</v>
      </c>
    </row>
    <row r="7" spans="1:19" x14ac:dyDescent="0.2">
      <c r="A7" s="2" t="s">
        <v>15</v>
      </c>
      <c r="B7" s="2" t="s">
        <v>405</v>
      </c>
      <c r="C7" s="2" t="s">
        <v>406</v>
      </c>
      <c r="D7" s="2" t="str">
        <f t="shared" si="0"/>
        <v>"animal organ development",</v>
      </c>
      <c r="E7" s="2" t="s">
        <v>350</v>
      </c>
      <c r="F7" s="2" t="s">
        <v>596</v>
      </c>
      <c r="G7" s="2" t="str">
        <f t="shared" si="1"/>
        <v>"#7f6333",</v>
      </c>
      <c r="H7" s="2">
        <v>8</v>
      </c>
      <c r="I7" s="2">
        <v>2.3255813953488298</v>
      </c>
      <c r="J7" s="2">
        <v>9.09385322106652E-3</v>
      </c>
      <c r="K7" s="7">
        <f t="shared" si="2"/>
        <v>2.041252059785112</v>
      </c>
      <c r="L7" s="2" t="s">
        <v>21</v>
      </c>
      <c r="M7" s="2">
        <v>305</v>
      </c>
      <c r="N7" s="2">
        <v>168</v>
      </c>
      <c r="O7" s="2">
        <v>21944</v>
      </c>
      <c r="P7" s="2">
        <v>3.42607338017174</v>
      </c>
      <c r="Q7" s="2">
        <v>0.99906067773964302</v>
      </c>
      <c r="R7" s="2">
        <v>0.99333239006547502</v>
      </c>
      <c r="S7" s="2">
        <v>0.99333239006547502</v>
      </c>
    </row>
    <row r="8" spans="1:19" x14ac:dyDescent="0.2">
      <c r="A8" s="2" t="s">
        <v>15</v>
      </c>
      <c r="B8" s="2" t="s">
        <v>407</v>
      </c>
      <c r="C8" s="2" t="s">
        <v>408</v>
      </c>
      <c r="D8" s="2" t="str">
        <f t="shared" si="0"/>
        <v>"determination of heart left/right asymmetry",</v>
      </c>
      <c r="E8" s="2" t="s">
        <v>350</v>
      </c>
      <c r="F8" s="2" t="s">
        <v>596</v>
      </c>
      <c r="G8" s="2" t="str">
        <f t="shared" si="1"/>
        <v>"#7f6333",</v>
      </c>
      <c r="H8" s="2">
        <v>6</v>
      </c>
      <c r="I8" s="2">
        <v>1.7441860465116199</v>
      </c>
      <c r="J8" s="2">
        <v>9.1131411932612403E-3</v>
      </c>
      <c r="K8" s="7">
        <f t="shared" si="2"/>
        <v>2.0403319009896217</v>
      </c>
      <c r="L8" s="2" t="s">
        <v>22</v>
      </c>
      <c r="M8" s="2">
        <v>305</v>
      </c>
      <c r="N8" s="2">
        <v>92</v>
      </c>
      <c r="O8" s="2">
        <v>21944</v>
      </c>
      <c r="P8" s="2">
        <v>4.6922309337134704</v>
      </c>
      <c r="Q8" s="2">
        <v>0.99907452539877595</v>
      </c>
      <c r="R8" s="2">
        <v>0.99333239006547502</v>
      </c>
      <c r="S8" s="2">
        <v>0.99333239006547502</v>
      </c>
    </row>
    <row r="9" spans="1:19" x14ac:dyDescent="0.2">
      <c r="A9" t="s">
        <v>15</v>
      </c>
      <c r="B9" t="s">
        <v>409</v>
      </c>
      <c r="C9" t="s">
        <v>410</v>
      </c>
      <c r="D9" t="str">
        <f t="shared" si="0"/>
        <v>"fibroblast growth factor receptor signaling pathway",</v>
      </c>
      <c r="E9" t="s">
        <v>350</v>
      </c>
      <c r="F9" t="s">
        <v>596</v>
      </c>
      <c r="G9" t="str">
        <f t="shared" si="1"/>
        <v>"#7f6333",</v>
      </c>
      <c r="H9">
        <v>4</v>
      </c>
      <c r="I9">
        <v>1.16279069767441</v>
      </c>
      <c r="J9">
        <v>2.5783499001117701E-2</v>
      </c>
      <c r="K9" s="8">
        <f t="shared" si="2"/>
        <v>1.5886581461849834</v>
      </c>
      <c r="L9" t="s">
        <v>23</v>
      </c>
      <c r="M9">
        <v>305</v>
      </c>
      <c r="N9">
        <v>46</v>
      </c>
      <c r="O9">
        <v>21944</v>
      </c>
      <c r="P9">
        <v>6.2563079116179603</v>
      </c>
      <c r="Q9">
        <v>0.99999999779132298</v>
      </c>
      <c r="R9">
        <v>1</v>
      </c>
      <c r="S9">
        <v>1</v>
      </c>
    </row>
    <row r="10" spans="1:19" x14ac:dyDescent="0.2">
      <c r="A10" t="s">
        <v>15</v>
      </c>
      <c r="B10" t="s">
        <v>411</v>
      </c>
      <c r="C10" t="s">
        <v>412</v>
      </c>
      <c r="D10" t="str">
        <f t="shared" si="0"/>
        <v>"cell adhesion",</v>
      </c>
      <c r="E10" t="s">
        <v>350</v>
      </c>
      <c r="F10" t="s">
        <v>596</v>
      </c>
      <c r="G10" t="str">
        <f t="shared" si="1"/>
        <v>"#7f6333",</v>
      </c>
      <c r="H10">
        <v>13</v>
      </c>
      <c r="I10">
        <v>3.7790697674418601</v>
      </c>
      <c r="J10">
        <v>2.74641771775163E-2</v>
      </c>
      <c r="K10" s="8">
        <f t="shared" si="2"/>
        <v>1.5612334078429586</v>
      </c>
      <c r="L10" t="s">
        <v>24</v>
      </c>
      <c r="M10">
        <v>305</v>
      </c>
      <c r="N10">
        <v>460</v>
      </c>
      <c r="O10">
        <v>21944</v>
      </c>
      <c r="P10">
        <v>2.0333000712758298</v>
      </c>
      <c r="Q10">
        <v>0.99999999940846696</v>
      </c>
      <c r="R10">
        <v>1</v>
      </c>
      <c r="S10">
        <v>1</v>
      </c>
    </row>
    <row r="11" spans="1:19" x14ac:dyDescent="0.2">
      <c r="A11" t="s">
        <v>15</v>
      </c>
      <c r="B11" t="s">
        <v>413</v>
      </c>
      <c r="C11" t="s">
        <v>414</v>
      </c>
      <c r="D11" t="str">
        <f t="shared" si="0"/>
        <v>"glucose homeostasis",</v>
      </c>
      <c r="E11" t="s">
        <v>350</v>
      </c>
      <c r="F11" t="s">
        <v>596</v>
      </c>
      <c r="G11" t="str">
        <f t="shared" si="1"/>
        <v>"#7f6333",</v>
      </c>
      <c r="H11">
        <v>4</v>
      </c>
      <c r="I11">
        <v>1.16279069767441</v>
      </c>
      <c r="J11">
        <v>2.8794191035021E-2</v>
      </c>
      <c r="K11" s="8">
        <f t="shared" si="2"/>
        <v>1.5406951183482314</v>
      </c>
      <c r="L11" t="s">
        <v>25</v>
      </c>
      <c r="M11">
        <v>305</v>
      </c>
      <c r="N11">
        <v>48</v>
      </c>
      <c r="O11">
        <v>21944</v>
      </c>
      <c r="P11">
        <v>5.9956284153005397</v>
      </c>
      <c r="Q11">
        <v>0.99999999979179</v>
      </c>
      <c r="R11">
        <v>1</v>
      </c>
      <c r="S11">
        <v>1</v>
      </c>
    </row>
    <row r="12" spans="1:19" x14ac:dyDescent="0.2">
      <c r="A12" t="s">
        <v>15</v>
      </c>
      <c r="B12" t="s">
        <v>415</v>
      </c>
      <c r="C12" t="s">
        <v>416</v>
      </c>
      <c r="D12" t="str">
        <f t="shared" si="0"/>
        <v>"posterior lateral line development",</v>
      </c>
      <c r="E12" t="s">
        <v>350</v>
      </c>
      <c r="F12" t="s">
        <v>596</v>
      </c>
      <c r="G12" t="str">
        <f t="shared" si="1"/>
        <v>"#7f6333",</v>
      </c>
      <c r="H12">
        <v>3</v>
      </c>
      <c r="I12">
        <v>0.87209302325581395</v>
      </c>
      <c r="J12">
        <v>3.0838728902126699E-2</v>
      </c>
      <c r="K12" s="8">
        <f t="shared" si="2"/>
        <v>1.5109035308211087</v>
      </c>
      <c r="L12" t="s">
        <v>26</v>
      </c>
      <c r="M12">
        <v>305</v>
      </c>
      <c r="N12">
        <v>20</v>
      </c>
      <c r="O12">
        <v>21944</v>
      </c>
      <c r="P12">
        <v>10.7921311475409</v>
      </c>
      <c r="Q12">
        <v>0.99999999995829503</v>
      </c>
      <c r="R12">
        <v>1</v>
      </c>
      <c r="S12">
        <v>1</v>
      </c>
    </row>
    <row r="13" spans="1:19" x14ac:dyDescent="0.2">
      <c r="A13" t="s">
        <v>15</v>
      </c>
      <c r="B13" t="s">
        <v>417</v>
      </c>
      <c r="C13" t="s">
        <v>418</v>
      </c>
      <c r="D13" t="str">
        <f t="shared" si="0"/>
        <v>"positive regulation of MAPK cascade",</v>
      </c>
      <c r="E13" t="s">
        <v>350</v>
      </c>
      <c r="F13" t="s">
        <v>596</v>
      </c>
      <c r="G13" t="str">
        <f t="shared" si="1"/>
        <v>"#7f6333",</v>
      </c>
      <c r="H13">
        <v>5</v>
      </c>
      <c r="I13">
        <v>1.4534883720930201</v>
      </c>
      <c r="J13">
        <v>3.1649325544402099E-2</v>
      </c>
      <c r="K13" s="8">
        <f t="shared" si="2"/>
        <v>1.4996355404796577</v>
      </c>
      <c r="L13" t="s">
        <v>27</v>
      </c>
      <c r="M13">
        <v>305</v>
      </c>
      <c r="N13">
        <v>86</v>
      </c>
      <c r="O13">
        <v>21944</v>
      </c>
      <c r="P13">
        <v>4.18299656881433</v>
      </c>
      <c r="Q13">
        <v>0.99999999997797395</v>
      </c>
      <c r="R13">
        <v>1</v>
      </c>
      <c r="S13">
        <v>1</v>
      </c>
    </row>
    <row r="14" spans="1:19" x14ac:dyDescent="0.2">
      <c r="A14" t="s">
        <v>15</v>
      </c>
      <c r="B14" t="s">
        <v>419</v>
      </c>
      <c r="C14" t="s">
        <v>420</v>
      </c>
      <c r="D14" t="str">
        <f t="shared" si="0"/>
        <v>"monoatomic ion transmembrane transport",</v>
      </c>
      <c r="E14" t="s">
        <v>350</v>
      </c>
      <c r="F14" t="s">
        <v>596</v>
      </c>
      <c r="G14" t="str">
        <f t="shared" si="1"/>
        <v>"#7f6333",</v>
      </c>
      <c r="H14">
        <v>11</v>
      </c>
      <c r="I14">
        <v>3.1976744186046502</v>
      </c>
      <c r="J14">
        <v>3.3757163566864402E-2</v>
      </c>
      <c r="K14" s="8">
        <f t="shared" si="2"/>
        <v>1.4716340519459792</v>
      </c>
      <c r="L14" t="s">
        <v>28</v>
      </c>
      <c r="M14">
        <v>305</v>
      </c>
      <c r="N14">
        <v>369</v>
      </c>
      <c r="O14">
        <v>21944</v>
      </c>
      <c r="P14">
        <v>2.1447776444977502</v>
      </c>
      <c r="Q14">
        <v>0.99999999999582301</v>
      </c>
      <c r="R14">
        <v>1</v>
      </c>
      <c r="S14">
        <v>1</v>
      </c>
    </row>
    <row r="15" spans="1:19" x14ac:dyDescent="0.2">
      <c r="A15" t="s">
        <v>15</v>
      </c>
      <c r="B15" t="s">
        <v>421</v>
      </c>
      <c r="C15" t="s">
        <v>422</v>
      </c>
      <c r="D15" t="str">
        <f t="shared" si="0"/>
        <v>"Kupffer's vesicle development",</v>
      </c>
      <c r="E15" t="s">
        <v>350</v>
      </c>
      <c r="F15" t="s">
        <v>596</v>
      </c>
      <c r="G15" t="str">
        <f t="shared" si="1"/>
        <v>"#7f6333",</v>
      </c>
      <c r="H15">
        <v>5</v>
      </c>
      <c r="I15">
        <v>1.4534883720930201</v>
      </c>
      <c r="J15">
        <v>3.4027481936059999E-2</v>
      </c>
      <c r="K15" s="8">
        <f t="shared" si="2"/>
        <v>1.4681701878932067</v>
      </c>
      <c r="L15" t="s">
        <v>29</v>
      </c>
      <c r="M15">
        <v>305</v>
      </c>
      <c r="N15">
        <v>88</v>
      </c>
      <c r="O15">
        <v>21944</v>
      </c>
      <c r="P15">
        <v>4.0879284649776402</v>
      </c>
      <c r="Q15">
        <v>0.99999999999662603</v>
      </c>
      <c r="R15">
        <v>1</v>
      </c>
      <c r="S15">
        <v>1</v>
      </c>
    </row>
    <row r="16" spans="1:19" x14ac:dyDescent="0.2">
      <c r="A16" t="s">
        <v>15</v>
      </c>
      <c r="B16" t="s">
        <v>423</v>
      </c>
      <c r="C16" t="s">
        <v>424</v>
      </c>
      <c r="D16" t="str">
        <f t="shared" si="0"/>
        <v>"intracellular protein transport",</v>
      </c>
      <c r="E16" t="s">
        <v>350</v>
      </c>
      <c r="F16" t="s">
        <v>596</v>
      </c>
      <c r="G16" t="str">
        <f t="shared" si="1"/>
        <v>"#7f6333",</v>
      </c>
      <c r="H16">
        <v>9</v>
      </c>
      <c r="I16">
        <v>2.6162790697674398</v>
      </c>
      <c r="J16">
        <v>3.5297460871832401E-2</v>
      </c>
      <c r="K16" s="8">
        <f t="shared" si="2"/>
        <v>1.4522565345275764</v>
      </c>
      <c r="L16" t="s">
        <v>30</v>
      </c>
      <c r="M16">
        <v>305</v>
      </c>
      <c r="N16">
        <v>270</v>
      </c>
      <c r="O16">
        <v>21944</v>
      </c>
      <c r="P16">
        <v>2.3982513661202098</v>
      </c>
      <c r="Q16">
        <v>0.99999999999876299</v>
      </c>
      <c r="R16">
        <v>1</v>
      </c>
      <c r="S16">
        <v>1</v>
      </c>
    </row>
    <row r="17" spans="1:19" x14ac:dyDescent="0.2">
      <c r="A17" t="s">
        <v>15</v>
      </c>
      <c r="B17" t="s">
        <v>425</v>
      </c>
      <c r="C17" t="s">
        <v>426</v>
      </c>
      <c r="D17" t="str">
        <f t="shared" si="0"/>
        <v>"regulation of membrane potential",</v>
      </c>
      <c r="E17" t="s">
        <v>350</v>
      </c>
      <c r="F17" t="s">
        <v>596</v>
      </c>
      <c r="G17" t="str">
        <f t="shared" si="1"/>
        <v>"#7f6333",</v>
      </c>
      <c r="H17">
        <v>4</v>
      </c>
      <c r="I17">
        <v>1.16279069767441</v>
      </c>
      <c r="J17">
        <v>4.0724592914944402E-2</v>
      </c>
      <c r="K17" s="8">
        <f t="shared" si="2"/>
        <v>1.3901432482269898</v>
      </c>
      <c r="L17" t="s">
        <v>31</v>
      </c>
      <c r="M17">
        <v>305</v>
      </c>
      <c r="N17">
        <v>55</v>
      </c>
      <c r="O17">
        <v>21944</v>
      </c>
      <c r="P17">
        <v>5.2325484351713802</v>
      </c>
      <c r="Q17">
        <v>0.99999999999998301</v>
      </c>
      <c r="R17">
        <v>1</v>
      </c>
      <c r="S17">
        <v>1</v>
      </c>
    </row>
    <row r="18" spans="1:19" x14ac:dyDescent="0.2">
      <c r="A18" t="s">
        <v>15</v>
      </c>
      <c r="B18" t="s">
        <v>427</v>
      </c>
      <c r="C18" t="s">
        <v>428</v>
      </c>
      <c r="D18" t="str">
        <f t="shared" si="0"/>
        <v>"apoptotic process",</v>
      </c>
      <c r="E18" t="s">
        <v>350</v>
      </c>
      <c r="F18" t="s">
        <v>596</v>
      </c>
      <c r="G18" t="str">
        <f t="shared" si="1"/>
        <v>"#7f6333",</v>
      </c>
      <c r="H18">
        <v>7</v>
      </c>
      <c r="I18">
        <v>2.03488372093023</v>
      </c>
      <c r="J18">
        <v>4.6341693204899802E-2</v>
      </c>
      <c r="K18" s="8">
        <f t="shared" si="2"/>
        <v>1.3340281022657094</v>
      </c>
      <c r="L18" t="s">
        <v>32</v>
      </c>
      <c r="M18">
        <v>305</v>
      </c>
      <c r="N18">
        <v>187</v>
      </c>
      <c r="O18">
        <v>21944</v>
      </c>
      <c r="P18">
        <v>2.69322345927938</v>
      </c>
      <c r="Q18">
        <v>0.999999999999999</v>
      </c>
      <c r="R18">
        <v>1</v>
      </c>
      <c r="S18">
        <v>1</v>
      </c>
    </row>
    <row r="19" spans="1:19" x14ac:dyDescent="0.2">
      <c r="A19" t="s">
        <v>15</v>
      </c>
      <c r="B19" t="s">
        <v>429</v>
      </c>
      <c r="C19" t="s">
        <v>430</v>
      </c>
      <c r="D19" t="str">
        <f t="shared" si="0"/>
        <v>"multicellular organism development",</v>
      </c>
      <c r="E19" t="s">
        <v>350</v>
      </c>
      <c r="F19" t="s">
        <v>596</v>
      </c>
      <c r="G19" t="str">
        <f t="shared" si="1"/>
        <v>"#7f6333",</v>
      </c>
      <c r="H19">
        <v>5</v>
      </c>
      <c r="I19">
        <v>1.4534883720930201</v>
      </c>
      <c r="J19">
        <v>4.7441644805806302E-2</v>
      </c>
      <c r="K19" s="8">
        <f t="shared" si="2"/>
        <v>1.3238402623566439</v>
      </c>
      <c r="L19" t="s">
        <v>20</v>
      </c>
      <c r="M19">
        <v>305</v>
      </c>
      <c r="N19">
        <v>98</v>
      </c>
      <c r="O19">
        <v>21944</v>
      </c>
      <c r="P19">
        <v>3.6707929073268599</v>
      </c>
      <c r="Q19">
        <v>0.999999999999999</v>
      </c>
      <c r="R19">
        <v>1</v>
      </c>
      <c r="S19">
        <v>1</v>
      </c>
    </row>
    <row r="20" spans="1:19" x14ac:dyDescent="0.2">
      <c r="A20" s="5" t="s">
        <v>15</v>
      </c>
      <c r="B20" s="5" t="s">
        <v>431</v>
      </c>
      <c r="C20" s="5" t="s">
        <v>432</v>
      </c>
      <c r="D20" s="5" t="str">
        <f t="shared" si="0"/>
        <v>"calcium ion transport",</v>
      </c>
      <c r="E20" s="5" t="s">
        <v>350</v>
      </c>
      <c r="F20" s="5" t="s">
        <v>596</v>
      </c>
      <c r="G20" s="5" t="str">
        <f t="shared" si="1"/>
        <v>"#7f6333",</v>
      </c>
      <c r="H20" s="5">
        <v>5</v>
      </c>
      <c r="I20" s="5">
        <v>1.4534883720930201</v>
      </c>
      <c r="J20" s="5">
        <v>5.1960927170970603E-2</v>
      </c>
      <c r="K20" s="9">
        <f t="shared" si="2"/>
        <v>1.2843231081447413</v>
      </c>
      <c r="L20" s="5" t="s">
        <v>33</v>
      </c>
      <c r="M20" s="5">
        <v>305</v>
      </c>
      <c r="N20" s="5">
        <v>101</v>
      </c>
      <c r="O20" s="5">
        <v>21944</v>
      </c>
      <c r="P20" s="5">
        <v>3.5617594546339801</v>
      </c>
      <c r="Q20" s="5">
        <v>1</v>
      </c>
      <c r="R20" s="5">
        <v>1</v>
      </c>
      <c r="S20" s="5">
        <v>1</v>
      </c>
    </row>
    <row r="21" spans="1:19" x14ac:dyDescent="0.2">
      <c r="A21" s="5" t="s">
        <v>15</v>
      </c>
      <c r="B21" s="5" t="s">
        <v>433</v>
      </c>
      <c r="C21" s="5" t="s">
        <v>434</v>
      </c>
      <c r="D21" s="5" t="str">
        <f t="shared" si="0"/>
        <v>"collagen catabolic process",</v>
      </c>
      <c r="E21" s="5" t="s">
        <v>350</v>
      </c>
      <c r="F21" s="5" t="s">
        <v>596</v>
      </c>
      <c r="G21" s="5" t="str">
        <f t="shared" si="1"/>
        <v>"#7f6333",</v>
      </c>
      <c r="H21" s="5">
        <v>3</v>
      </c>
      <c r="I21" s="5">
        <v>0.87209302325581395</v>
      </c>
      <c r="J21" s="5">
        <v>5.3493889212011897E-2</v>
      </c>
      <c r="K21" s="9">
        <f t="shared" si="2"/>
        <v>1.2716958260736964</v>
      </c>
      <c r="L21" s="5" t="s">
        <v>34</v>
      </c>
      <c r="M21" s="5">
        <v>305</v>
      </c>
      <c r="N21" s="5">
        <v>27</v>
      </c>
      <c r="O21" s="5">
        <v>21944</v>
      </c>
      <c r="P21" s="5">
        <v>7.9941712204007196</v>
      </c>
      <c r="Q21" s="5">
        <v>1</v>
      </c>
      <c r="R21" s="5">
        <v>1</v>
      </c>
      <c r="S21" s="5">
        <v>1</v>
      </c>
    </row>
    <row r="22" spans="1:19" x14ac:dyDescent="0.2">
      <c r="A22" s="5" t="s">
        <v>15</v>
      </c>
      <c r="B22" s="5" t="s">
        <v>435</v>
      </c>
      <c r="C22" s="5" t="s">
        <v>436</v>
      </c>
      <c r="D22" s="5" t="str">
        <f t="shared" si="0"/>
        <v>"nervous system process",</v>
      </c>
      <c r="E22" s="5" t="s">
        <v>350</v>
      </c>
      <c r="F22" s="5" t="s">
        <v>596</v>
      </c>
      <c r="G22" s="5" t="str">
        <f t="shared" si="1"/>
        <v>"#7f6333",</v>
      </c>
      <c r="H22" s="5">
        <v>3</v>
      </c>
      <c r="I22" s="5">
        <v>0.87209302325581395</v>
      </c>
      <c r="J22" s="5">
        <v>5.3493889212011897E-2</v>
      </c>
      <c r="K22" s="9">
        <f t="shared" si="2"/>
        <v>1.2716958260736964</v>
      </c>
      <c r="L22" s="5" t="s">
        <v>35</v>
      </c>
      <c r="M22" s="5">
        <v>305</v>
      </c>
      <c r="N22" s="5">
        <v>27</v>
      </c>
      <c r="O22" s="5">
        <v>21944</v>
      </c>
      <c r="P22" s="5">
        <v>7.9941712204007196</v>
      </c>
      <c r="Q22" s="5">
        <v>1</v>
      </c>
      <c r="R22" s="5">
        <v>1</v>
      </c>
      <c r="S22" s="5">
        <v>1</v>
      </c>
    </row>
    <row r="23" spans="1:19" x14ac:dyDescent="0.2">
      <c r="A23" s="5" t="s">
        <v>15</v>
      </c>
      <c r="B23" s="5" t="s">
        <v>437</v>
      </c>
      <c r="C23" s="5" t="s">
        <v>438</v>
      </c>
      <c r="D23" s="5" t="str">
        <f t="shared" si="0"/>
        <v>"embryonic neurocranium morphogenesis",</v>
      </c>
      <c r="E23" s="5" t="s">
        <v>350</v>
      </c>
      <c r="F23" s="5" t="s">
        <v>596</v>
      </c>
      <c r="G23" s="5" t="str">
        <f t="shared" si="1"/>
        <v>"#7f6333",</v>
      </c>
      <c r="H23" s="5">
        <v>3</v>
      </c>
      <c r="I23" s="5">
        <v>0.87209302325581395</v>
      </c>
      <c r="J23" s="5">
        <v>5.3493889212011897E-2</v>
      </c>
      <c r="K23" s="9">
        <f t="shared" si="2"/>
        <v>1.2716958260736964</v>
      </c>
      <c r="L23" s="5" t="s">
        <v>36</v>
      </c>
      <c r="M23" s="5">
        <v>305</v>
      </c>
      <c r="N23" s="5">
        <v>27</v>
      </c>
      <c r="O23" s="5">
        <v>21944</v>
      </c>
      <c r="P23" s="5">
        <v>7.9941712204007196</v>
      </c>
      <c r="Q23" s="5">
        <v>1</v>
      </c>
      <c r="R23" s="5">
        <v>1</v>
      </c>
      <c r="S23" s="5">
        <v>1</v>
      </c>
    </row>
    <row r="24" spans="1:19" x14ac:dyDescent="0.2">
      <c r="A24" s="5" t="s">
        <v>15</v>
      </c>
      <c r="B24" s="5" t="s">
        <v>439</v>
      </c>
      <c r="C24" s="5" t="s">
        <v>440</v>
      </c>
      <c r="D24" s="5" t="str">
        <f t="shared" si="0"/>
        <v>"positive regulation of cell population proliferation",</v>
      </c>
      <c r="E24" s="5" t="s">
        <v>350</v>
      </c>
      <c r="F24" s="5" t="s">
        <v>596</v>
      </c>
      <c r="G24" s="5" t="str">
        <f t="shared" si="1"/>
        <v>"#7f6333",</v>
      </c>
      <c r="H24" s="5">
        <v>5</v>
      </c>
      <c r="I24" s="5">
        <v>1.4534883720930201</v>
      </c>
      <c r="J24" s="5">
        <v>6.16781585682755E-2</v>
      </c>
      <c r="K24" s="9">
        <f t="shared" si="2"/>
        <v>1.2098686008386608</v>
      </c>
      <c r="L24" s="5" t="s">
        <v>37</v>
      </c>
      <c r="M24" s="5">
        <v>305</v>
      </c>
      <c r="N24" s="5">
        <v>107</v>
      </c>
      <c r="O24" s="5">
        <v>21944</v>
      </c>
      <c r="P24" s="5">
        <v>3.36203462540217</v>
      </c>
      <c r="Q24" s="5">
        <v>1</v>
      </c>
      <c r="R24" s="5">
        <v>1</v>
      </c>
      <c r="S24" s="5">
        <v>1</v>
      </c>
    </row>
    <row r="25" spans="1:19" x14ac:dyDescent="0.2">
      <c r="A25" s="5" t="s">
        <v>15</v>
      </c>
      <c r="B25" s="5" t="s">
        <v>441</v>
      </c>
      <c r="C25" s="5" t="s">
        <v>442</v>
      </c>
      <c r="D25" s="5" t="str">
        <f t="shared" si="0"/>
        <v>"positive regulation of phosphatidylinositol 3-kinase/protein kinase B signal transduction",</v>
      </c>
      <c r="E25" s="5" t="s">
        <v>350</v>
      </c>
      <c r="F25" s="5" t="s">
        <v>596</v>
      </c>
      <c r="G25" s="5" t="str">
        <f t="shared" si="1"/>
        <v>"#7f6333",</v>
      </c>
      <c r="H25" s="5">
        <v>3</v>
      </c>
      <c r="I25" s="5">
        <v>0.87209302325581395</v>
      </c>
      <c r="J25" s="5">
        <v>6.4541266367503999E-2</v>
      </c>
      <c r="K25" s="9">
        <f t="shared" si="2"/>
        <v>1.1901625175341675</v>
      </c>
      <c r="L25" s="5" t="s">
        <v>38</v>
      </c>
      <c r="M25" s="5">
        <v>305</v>
      </c>
      <c r="N25" s="5">
        <v>30</v>
      </c>
      <c r="O25" s="5">
        <v>21944</v>
      </c>
      <c r="P25" s="5">
        <v>7.1947540983606499</v>
      </c>
      <c r="Q25" s="5">
        <v>1</v>
      </c>
      <c r="R25" s="5">
        <v>1</v>
      </c>
      <c r="S25" s="5">
        <v>1</v>
      </c>
    </row>
    <row r="26" spans="1:19" x14ac:dyDescent="0.2">
      <c r="A26" s="5" t="s">
        <v>15</v>
      </c>
      <c r="B26" s="5" t="s">
        <v>443</v>
      </c>
      <c r="C26" s="5" t="s">
        <v>444</v>
      </c>
      <c r="D26" s="5" t="str">
        <f t="shared" si="0"/>
        <v>"cell development",</v>
      </c>
      <c r="E26" s="5" t="s">
        <v>350</v>
      </c>
      <c r="F26" s="5" t="s">
        <v>596</v>
      </c>
      <c r="G26" s="5" t="str">
        <f t="shared" si="1"/>
        <v>"#7f6333",</v>
      </c>
      <c r="H26" s="5">
        <v>7</v>
      </c>
      <c r="I26" s="5">
        <v>2.03488372093023</v>
      </c>
      <c r="J26" s="5">
        <v>6.5075673461647499E-2</v>
      </c>
      <c r="K26" s="9">
        <f t="shared" si="2"/>
        <v>1.1865813287252369</v>
      </c>
      <c r="L26" s="5" t="s">
        <v>39</v>
      </c>
      <c r="M26" s="5">
        <v>305</v>
      </c>
      <c r="N26" s="5">
        <v>204</v>
      </c>
      <c r="O26" s="5">
        <v>21944</v>
      </c>
      <c r="P26" s="5">
        <v>2.4687881710060999</v>
      </c>
      <c r="Q26" s="5">
        <v>1</v>
      </c>
      <c r="R26" s="5">
        <v>1</v>
      </c>
      <c r="S26" s="5">
        <v>1</v>
      </c>
    </row>
    <row r="27" spans="1:19" x14ac:dyDescent="0.2">
      <c r="A27" s="5" t="s">
        <v>15</v>
      </c>
      <c r="B27" s="5" t="s">
        <v>445</v>
      </c>
      <c r="C27" s="5" t="s">
        <v>446</v>
      </c>
      <c r="D27" s="5" t="str">
        <f t="shared" si="0"/>
        <v>"calcium ion transmembrane transport",</v>
      </c>
      <c r="E27" s="5" t="s">
        <v>350</v>
      </c>
      <c r="F27" s="5" t="s">
        <v>596</v>
      </c>
      <c r="G27" s="5" t="str">
        <f t="shared" si="1"/>
        <v>"#7f6333",</v>
      </c>
      <c r="H27" s="5">
        <v>5</v>
      </c>
      <c r="I27" s="5">
        <v>1.4534883720930201</v>
      </c>
      <c r="J27" s="5">
        <v>6.6871933960260796E-2</v>
      </c>
      <c r="K27" s="9">
        <f t="shared" si="2"/>
        <v>1.1747561166666447</v>
      </c>
      <c r="L27" s="5" t="s">
        <v>33</v>
      </c>
      <c r="M27" s="5">
        <v>305</v>
      </c>
      <c r="N27" s="5">
        <v>110</v>
      </c>
      <c r="O27" s="5">
        <v>21944</v>
      </c>
      <c r="P27" s="5">
        <v>3.2703427719821101</v>
      </c>
      <c r="Q27" s="5">
        <v>1</v>
      </c>
      <c r="R27" s="5">
        <v>1</v>
      </c>
      <c r="S27" s="5">
        <v>1</v>
      </c>
    </row>
    <row r="28" spans="1:19" x14ac:dyDescent="0.2">
      <c r="A28" s="5" t="s">
        <v>15</v>
      </c>
      <c r="B28" s="5" t="s">
        <v>447</v>
      </c>
      <c r="C28" s="5" t="s">
        <v>448</v>
      </c>
      <c r="D28" s="5" t="str">
        <f t="shared" si="0"/>
        <v>"peptidyl-serine phosphorylation",</v>
      </c>
      <c r="E28" s="5" t="s">
        <v>350</v>
      </c>
      <c r="F28" s="5" t="s">
        <v>596</v>
      </c>
      <c r="G28" s="5" t="str">
        <f t="shared" si="1"/>
        <v>"#7f6333",</v>
      </c>
      <c r="H28" s="5">
        <v>5</v>
      </c>
      <c r="I28" s="5">
        <v>1.4534883720930201</v>
      </c>
      <c r="J28" s="5">
        <v>6.8652193631935005E-2</v>
      </c>
      <c r="K28" s="9">
        <f t="shared" si="2"/>
        <v>1.1633455812673705</v>
      </c>
      <c r="L28" s="5" t="s">
        <v>40</v>
      </c>
      <c r="M28" s="5">
        <v>305</v>
      </c>
      <c r="N28" s="5">
        <v>111</v>
      </c>
      <c r="O28" s="5">
        <v>21944</v>
      </c>
      <c r="P28" s="5">
        <v>3.24088022448678</v>
      </c>
      <c r="Q28" s="5">
        <v>1</v>
      </c>
      <c r="R28" s="5">
        <v>1</v>
      </c>
      <c r="S28" s="5">
        <v>1</v>
      </c>
    </row>
    <row r="29" spans="1:19" x14ac:dyDescent="0.2">
      <c r="A29" s="5" t="s">
        <v>15</v>
      </c>
      <c r="B29" s="5" t="s">
        <v>449</v>
      </c>
      <c r="C29" s="5" t="s">
        <v>450</v>
      </c>
      <c r="D29" s="5" t="str">
        <f t="shared" si="0"/>
        <v>"proteolysis",</v>
      </c>
      <c r="E29" s="5" t="s">
        <v>350</v>
      </c>
      <c r="F29" s="5" t="s">
        <v>596</v>
      </c>
      <c r="G29" s="5" t="str">
        <f t="shared" si="1"/>
        <v>"#7f6333",</v>
      </c>
      <c r="H29" s="5">
        <v>15</v>
      </c>
      <c r="I29" s="5">
        <v>4.3604651162790597</v>
      </c>
      <c r="J29" s="5">
        <v>7.3386469359397702E-2</v>
      </c>
      <c r="K29" s="9">
        <f t="shared" si="2"/>
        <v>1.1343840058092307</v>
      </c>
      <c r="L29" s="5" t="s">
        <v>41</v>
      </c>
      <c r="M29" s="5">
        <v>305</v>
      </c>
      <c r="N29" s="5">
        <v>658</v>
      </c>
      <c r="O29" s="5">
        <v>21944</v>
      </c>
      <c r="P29" s="5">
        <v>1.6401415117843401</v>
      </c>
      <c r="Q29" s="5">
        <v>1</v>
      </c>
      <c r="R29" s="5">
        <v>1</v>
      </c>
      <c r="S29" s="5">
        <v>1</v>
      </c>
    </row>
    <row r="30" spans="1:19" x14ac:dyDescent="0.2">
      <c r="A30" s="5" t="s">
        <v>15</v>
      </c>
      <c r="B30" s="5" t="s">
        <v>451</v>
      </c>
      <c r="C30" s="5" t="s">
        <v>452</v>
      </c>
      <c r="D30" s="5" t="str">
        <f t="shared" si="0"/>
        <v>"regulation of double-strand break repair via homologous recombination",</v>
      </c>
      <c r="E30" s="5" t="s">
        <v>350</v>
      </c>
      <c r="F30" s="5" t="s">
        <v>596</v>
      </c>
      <c r="G30" s="5" t="str">
        <f t="shared" si="1"/>
        <v>"#7f6333",</v>
      </c>
      <c r="H30" s="5">
        <v>2</v>
      </c>
      <c r="I30" s="5">
        <v>0.581395348837209</v>
      </c>
      <c r="J30" s="5">
        <v>8.0303359793543402E-2</v>
      </c>
      <c r="K30" s="9">
        <f t="shared" si="2"/>
        <v>1.0952662839956466</v>
      </c>
      <c r="L30" s="5" t="s">
        <v>42</v>
      </c>
      <c r="M30" s="5">
        <v>305</v>
      </c>
      <c r="N30" s="5">
        <v>6</v>
      </c>
      <c r="O30" s="5">
        <v>21944</v>
      </c>
      <c r="P30" s="5">
        <v>23.982513661202098</v>
      </c>
      <c r="Q30" s="5">
        <v>1</v>
      </c>
      <c r="R30" s="5">
        <v>1</v>
      </c>
      <c r="S30" s="5">
        <v>1</v>
      </c>
    </row>
    <row r="31" spans="1:19" x14ac:dyDescent="0.2">
      <c r="A31" s="5" t="s">
        <v>15</v>
      </c>
      <c r="B31" s="5" t="s">
        <v>453</v>
      </c>
      <c r="C31" s="5" t="s">
        <v>454</v>
      </c>
      <c r="D31" s="5" t="str">
        <f t="shared" si="0"/>
        <v>"midbrain development",</v>
      </c>
      <c r="E31" s="5" t="s">
        <v>350</v>
      </c>
      <c r="F31" s="5" t="s">
        <v>596</v>
      </c>
      <c r="G31" s="5" t="str">
        <f t="shared" si="1"/>
        <v>"#7f6333",</v>
      </c>
      <c r="H31" s="5">
        <v>3</v>
      </c>
      <c r="I31" s="5">
        <v>0.87209302325581395</v>
      </c>
      <c r="J31" s="5">
        <v>8.0324113507167103E-2</v>
      </c>
      <c r="K31" s="9">
        <f t="shared" si="2"/>
        <v>1.0951540588180886</v>
      </c>
      <c r="L31" s="5" t="s">
        <v>43</v>
      </c>
      <c r="M31" s="5">
        <v>305</v>
      </c>
      <c r="N31" s="5">
        <v>34</v>
      </c>
      <c r="O31" s="5">
        <v>21944</v>
      </c>
      <c r="P31" s="5">
        <v>6.3483124397299902</v>
      </c>
      <c r="Q31" s="5">
        <v>1</v>
      </c>
      <c r="R31" s="5">
        <v>1</v>
      </c>
      <c r="S31" s="5">
        <v>1</v>
      </c>
    </row>
    <row r="32" spans="1:19" x14ac:dyDescent="0.2">
      <c r="A32" s="5" t="s">
        <v>15</v>
      </c>
      <c r="B32" s="5" t="s">
        <v>455</v>
      </c>
      <c r="C32" s="5" t="s">
        <v>456</v>
      </c>
      <c r="D32" s="5" t="str">
        <f t="shared" si="0"/>
        <v>"midbrain-hindbrain boundary development",</v>
      </c>
      <c r="E32" s="5" t="s">
        <v>350</v>
      </c>
      <c r="F32" s="5" t="s">
        <v>596</v>
      </c>
      <c r="G32" s="5" t="str">
        <f t="shared" si="1"/>
        <v>"#7f6333",</v>
      </c>
      <c r="H32" s="5">
        <v>3</v>
      </c>
      <c r="I32" s="5">
        <v>0.87209302325581395</v>
      </c>
      <c r="J32" s="5">
        <v>8.4439511578742493E-2</v>
      </c>
      <c r="K32" s="9">
        <f t="shared" si="2"/>
        <v>1.0734542874353246</v>
      </c>
      <c r="L32" s="5" t="s">
        <v>44</v>
      </c>
      <c r="M32" s="5">
        <v>305</v>
      </c>
      <c r="N32" s="5">
        <v>35</v>
      </c>
      <c r="O32" s="5">
        <v>21944</v>
      </c>
      <c r="P32" s="5">
        <v>6.1669320843091304</v>
      </c>
      <c r="Q32" s="5">
        <v>1</v>
      </c>
      <c r="R32" s="5">
        <v>1</v>
      </c>
      <c r="S32" s="5">
        <v>1</v>
      </c>
    </row>
    <row r="33" spans="1:19" x14ac:dyDescent="0.2">
      <c r="A33" s="5" t="s">
        <v>15</v>
      </c>
      <c r="B33" s="5" t="s">
        <v>457</v>
      </c>
      <c r="C33" s="5" t="s">
        <v>458</v>
      </c>
      <c r="D33" s="5" t="str">
        <f t="shared" si="0"/>
        <v>"myofibril assembly",</v>
      </c>
      <c r="E33" s="5" t="s">
        <v>350</v>
      </c>
      <c r="F33" s="5" t="s">
        <v>596</v>
      </c>
      <c r="G33" s="5" t="str">
        <f t="shared" si="1"/>
        <v>"#7f6333",</v>
      </c>
      <c r="H33" s="5">
        <v>3</v>
      </c>
      <c r="I33" s="5">
        <v>0.87209302325581395</v>
      </c>
      <c r="J33" s="5">
        <v>9.7151585098202098E-2</v>
      </c>
      <c r="K33" s="9">
        <f t="shared" si="2"/>
        <v>1.0125501091785933</v>
      </c>
      <c r="L33" s="5" t="s">
        <v>45</v>
      </c>
      <c r="M33" s="5">
        <v>305</v>
      </c>
      <c r="N33" s="5">
        <v>38</v>
      </c>
      <c r="O33" s="5">
        <v>21944</v>
      </c>
      <c r="P33" s="5">
        <v>5.6800690250215702</v>
      </c>
      <c r="Q33" s="5">
        <v>1</v>
      </c>
      <c r="R33" s="5">
        <v>1</v>
      </c>
      <c r="S33" s="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C835-0E6D-7140-B07F-855ACF9F02DE}">
  <dimension ref="A1:S22"/>
  <sheetViews>
    <sheetView workbookViewId="0">
      <selection activeCell="E2" sqref="E2:G2"/>
    </sheetView>
  </sheetViews>
  <sheetFormatPr baseColWidth="10" defaultRowHeight="16" x14ac:dyDescent="0.2"/>
  <cols>
    <col min="1" max="1" width="18.6640625" bestFit="1" customWidth="1"/>
    <col min="2" max="2" width="11.33203125" bestFit="1" customWidth="1"/>
    <col min="3" max="3" width="34.33203125" bestFit="1" customWidth="1"/>
    <col min="4" max="4" width="36.5" bestFit="1" customWidth="1"/>
    <col min="5" max="5" width="17.33203125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7" width="12.1640625" customWidth="1"/>
    <col min="18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3" t="s">
        <v>348</v>
      </c>
      <c r="D1" s="3" t="s">
        <v>349</v>
      </c>
      <c r="E1" s="3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10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46</v>
      </c>
      <c r="B2" s="2" t="s">
        <v>351</v>
      </c>
      <c r="C2" s="2" t="s">
        <v>352</v>
      </c>
      <c r="D2" s="2" t="str">
        <f>CHAR(34)&amp;C2&amp;CHAR(34)&amp;","</f>
        <v>"cytoskeleton",</v>
      </c>
      <c r="E2" s="2" t="s">
        <v>394</v>
      </c>
      <c r="F2" s="2" t="s">
        <v>597</v>
      </c>
      <c r="G2" s="2" t="str">
        <f>CHAR(34)&amp;F2&amp;CHAR(34)&amp;","</f>
        <v>"#0da285",</v>
      </c>
      <c r="H2" s="2">
        <v>23</v>
      </c>
      <c r="I2" s="2">
        <v>6.6860465116279002</v>
      </c>
      <c r="J2" s="4">
        <v>3.8452829054057503E-4</v>
      </c>
      <c r="K2" s="7">
        <f>-(LOG(J2))</f>
        <v>3.4150717027450419</v>
      </c>
      <c r="L2" s="2" t="s">
        <v>47</v>
      </c>
      <c r="M2" s="2">
        <v>314</v>
      </c>
      <c r="N2" s="2">
        <v>720</v>
      </c>
      <c r="O2" s="2">
        <v>22986</v>
      </c>
      <c r="P2" s="2">
        <v>2.33845541401273</v>
      </c>
      <c r="Q2" s="2">
        <v>8.7821820270277504E-2</v>
      </c>
      <c r="R2" s="2">
        <v>9.1902261439197497E-2</v>
      </c>
      <c r="S2" s="2">
        <v>9.1902261439197497E-2</v>
      </c>
    </row>
    <row r="3" spans="1:19" x14ac:dyDescent="0.2">
      <c r="A3" s="2" t="s">
        <v>46</v>
      </c>
      <c r="B3" s="2" t="s">
        <v>353</v>
      </c>
      <c r="C3" s="2" t="s">
        <v>354</v>
      </c>
      <c r="D3" s="2" t="str">
        <f t="shared" ref="D3:D22" si="0">CHAR(34)&amp;C3&amp;CHAR(34)&amp;","</f>
        <v>"cytoplasm",</v>
      </c>
      <c r="E3" s="2" t="s">
        <v>394</v>
      </c>
      <c r="F3" s="2" t="s">
        <v>597</v>
      </c>
      <c r="G3" s="2" t="str">
        <f t="shared" ref="G3:G22" si="1">CHAR(34)&amp;F3&amp;CHAR(34)&amp;","</f>
        <v>"#0da285",</v>
      </c>
      <c r="H3" s="2">
        <v>97</v>
      </c>
      <c r="I3" s="2">
        <v>28.197674418604599</v>
      </c>
      <c r="J3" s="2">
        <v>1.8608391369012601E-3</v>
      </c>
      <c r="K3" s="7">
        <f t="shared" ref="K3:K22" si="2">-(LOG(J3))</f>
        <v>2.7302911685004525</v>
      </c>
      <c r="L3" s="2" t="s">
        <v>48</v>
      </c>
      <c r="M3" s="2">
        <v>314</v>
      </c>
      <c r="N3" s="2">
        <v>5385</v>
      </c>
      <c r="O3" s="2">
        <v>22986</v>
      </c>
      <c r="P3" s="2">
        <v>1.31862037152032</v>
      </c>
      <c r="Q3" s="2">
        <v>0.35927495631043199</v>
      </c>
      <c r="R3" s="2">
        <v>0.22237027685970001</v>
      </c>
      <c r="S3" s="2">
        <v>0.22237027685970001</v>
      </c>
    </row>
    <row r="4" spans="1:19" x14ac:dyDescent="0.2">
      <c r="A4" t="s">
        <v>46</v>
      </c>
      <c r="B4" t="s">
        <v>355</v>
      </c>
      <c r="C4" t="s">
        <v>356</v>
      </c>
      <c r="D4" t="str">
        <f t="shared" si="0"/>
        <v>"centrosome",</v>
      </c>
      <c r="E4" t="s">
        <v>394</v>
      </c>
      <c r="F4" t="s">
        <v>597</v>
      </c>
      <c r="G4" t="str">
        <f t="shared" si="1"/>
        <v>"#0da285",</v>
      </c>
      <c r="H4">
        <v>10</v>
      </c>
      <c r="I4">
        <v>2.9069767441860401</v>
      </c>
      <c r="J4">
        <v>1.0695423084181E-2</v>
      </c>
      <c r="K4" s="8">
        <f t="shared" si="2"/>
        <v>1.9708020311494021</v>
      </c>
      <c r="L4" t="s">
        <v>49</v>
      </c>
      <c r="M4">
        <v>314</v>
      </c>
      <c r="N4">
        <v>265</v>
      </c>
      <c r="O4">
        <v>22986</v>
      </c>
      <c r="P4">
        <v>2.7624083643792798</v>
      </c>
      <c r="Q4">
        <v>0.92346248212209303</v>
      </c>
      <c r="R4">
        <v>0.745361919886389</v>
      </c>
      <c r="S4">
        <v>0.745361919886389</v>
      </c>
    </row>
    <row r="5" spans="1:19" x14ac:dyDescent="0.2">
      <c r="A5" t="s">
        <v>46</v>
      </c>
      <c r="B5" t="s">
        <v>357</v>
      </c>
      <c r="C5" t="s">
        <v>358</v>
      </c>
      <c r="D5" t="str">
        <f t="shared" si="0"/>
        <v>"postsynaptic membrane",</v>
      </c>
      <c r="E5" t="s">
        <v>394</v>
      </c>
      <c r="F5" t="s">
        <v>597</v>
      </c>
      <c r="G5" t="str">
        <f t="shared" si="1"/>
        <v>"#0da285",</v>
      </c>
      <c r="H5">
        <v>8</v>
      </c>
      <c r="I5">
        <v>2.3255813953488298</v>
      </c>
      <c r="J5">
        <v>1.2474676483454201E-2</v>
      </c>
      <c r="K5" s="8">
        <f t="shared" si="2"/>
        <v>1.9039707084919473</v>
      </c>
      <c r="L5" t="s">
        <v>50</v>
      </c>
      <c r="M5">
        <v>314</v>
      </c>
      <c r="N5">
        <v>182</v>
      </c>
      <c r="O5">
        <v>22986</v>
      </c>
      <c r="P5">
        <v>3.21775040246377</v>
      </c>
      <c r="Q5">
        <v>0.95022289272509297</v>
      </c>
      <c r="R5">
        <v>0.745361919886389</v>
      </c>
      <c r="S5">
        <v>0.745361919886389</v>
      </c>
    </row>
    <row r="6" spans="1:19" x14ac:dyDescent="0.2">
      <c r="A6" t="s">
        <v>46</v>
      </c>
      <c r="B6" t="s">
        <v>359</v>
      </c>
      <c r="C6" t="s">
        <v>360</v>
      </c>
      <c r="D6" t="str">
        <f t="shared" si="0"/>
        <v>"plasma membrane",</v>
      </c>
      <c r="E6" t="s">
        <v>394</v>
      </c>
      <c r="F6" t="s">
        <v>597</v>
      </c>
      <c r="G6" t="str">
        <f t="shared" si="1"/>
        <v>"#0da285",</v>
      </c>
      <c r="H6">
        <v>73</v>
      </c>
      <c r="I6">
        <v>21.2209302325581</v>
      </c>
      <c r="J6">
        <v>1.7122873100803199E-2</v>
      </c>
      <c r="K6" s="8">
        <f t="shared" si="2"/>
        <v>1.7664233619056446</v>
      </c>
      <c r="L6" t="s">
        <v>51</v>
      </c>
      <c r="M6">
        <v>314</v>
      </c>
      <c r="N6">
        <v>4173</v>
      </c>
      <c r="O6">
        <v>22986</v>
      </c>
      <c r="P6">
        <v>1.28058446702413</v>
      </c>
      <c r="Q6">
        <v>0.98388183475750701</v>
      </c>
      <c r="R6">
        <v>0.81847333421839397</v>
      </c>
      <c r="S6">
        <v>0.81847333421839397</v>
      </c>
    </row>
    <row r="7" spans="1:19" x14ac:dyDescent="0.2">
      <c r="A7" t="s">
        <v>46</v>
      </c>
      <c r="B7" t="s">
        <v>361</v>
      </c>
      <c r="C7" t="s">
        <v>362</v>
      </c>
      <c r="D7" t="str">
        <f t="shared" si="0"/>
        <v>"cytoplasmic side of plasma membrane",</v>
      </c>
      <c r="E7" t="s">
        <v>394</v>
      </c>
      <c r="F7" t="s">
        <v>597</v>
      </c>
      <c r="G7" t="str">
        <f t="shared" si="1"/>
        <v>"#0da285",</v>
      </c>
      <c r="H7">
        <v>3</v>
      </c>
      <c r="I7">
        <v>0.87209302325581395</v>
      </c>
      <c r="J7">
        <v>4.1893146547548998E-2</v>
      </c>
      <c r="K7" s="8">
        <f t="shared" si="2"/>
        <v>1.3778570190391843</v>
      </c>
      <c r="L7" t="s">
        <v>52</v>
      </c>
      <c r="M7">
        <v>314</v>
      </c>
      <c r="N7">
        <v>24</v>
      </c>
      <c r="O7">
        <v>22986</v>
      </c>
      <c r="P7">
        <v>9.1504777070063597</v>
      </c>
      <c r="Q7">
        <v>0.99996386456641095</v>
      </c>
      <c r="R7">
        <v>1</v>
      </c>
      <c r="S7">
        <v>1</v>
      </c>
    </row>
    <row r="8" spans="1:19" x14ac:dyDescent="0.2">
      <c r="A8" s="5" t="s">
        <v>46</v>
      </c>
      <c r="B8" s="5" t="s">
        <v>363</v>
      </c>
      <c r="C8" s="5" t="s">
        <v>364</v>
      </c>
      <c r="D8" s="5" t="str">
        <f t="shared" si="0"/>
        <v>"GABA-A receptor complex",</v>
      </c>
      <c r="E8" s="5" t="s">
        <v>394</v>
      </c>
      <c r="F8" s="5" t="s">
        <v>597</v>
      </c>
      <c r="G8" s="5" t="str">
        <f t="shared" si="1"/>
        <v>"#0da285",</v>
      </c>
      <c r="H8" s="5">
        <v>3</v>
      </c>
      <c r="I8" s="5">
        <v>0.87209302325581395</v>
      </c>
      <c r="J8" s="5">
        <v>5.1885103977424303E-2</v>
      </c>
      <c r="K8" s="9">
        <f t="shared" si="2"/>
        <v>1.284957308605656</v>
      </c>
      <c r="L8" s="5" t="s">
        <v>35</v>
      </c>
      <c r="M8" s="5">
        <v>314</v>
      </c>
      <c r="N8" s="5">
        <v>27</v>
      </c>
      <c r="O8" s="5">
        <v>22986</v>
      </c>
      <c r="P8" s="5">
        <v>8.1337579617834308</v>
      </c>
      <c r="Q8" s="5">
        <v>0.99999705034100905</v>
      </c>
      <c r="R8" s="5">
        <v>1</v>
      </c>
      <c r="S8" s="5">
        <v>1</v>
      </c>
    </row>
    <row r="9" spans="1:19" x14ac:dyDescent="0.2">
      <c r="A9" s="5" t="s">
        <v>46</v>
      </c>
      <c r="B9" s="5" t="s">
        <v>365</v>
      </c>
      <c r="C9" s="5" t="s">
        <v>366</v>
      </c>
      <c r="D9" s="5" t="str">
        <f t="shared" si="0"/>
        <v>"insulin receptor complex",</v>
      </c>
      <c r="E9" s="5" t="s">
        <v>394</v>
      </c>
      <c r="F9" s="5" t="s">
        <v>597</v>
      </c>
      <c r="G9" s="5" t="str">
        <f t="shared" si="1"/>
        <v>"#0da285",</v>
      </c>
      <c r="H9" s="5">
        <v>2</v>
      </c>
      <c r="I9" s="5">
        <v>0.581395348837209</v>
      </c>
      <c r="J9" s="5">
        <v>5.3368880162868303E-2</v>
      </c>
      <c r="K9" s="9">
        <f t="shared" si="2"/>
        <v>1.2727119098849886</v>
      </c>
      <c r="L9" s="5" t="s">
        <v>53</v>
      </c>
      <c r="M9" s="5">
        <v>314</v>
      </c>
      <c r="N9" s="5">
        <v>4</v>
      </c>
      <c r="O9" s="5">
        <v>22986</v>
      </c>
      <c r="P9" s="5">
        <v>36.601910828025403</v>
      </c>
      <c r="Q9" s="5">
        <v>0.99999797135609103</v>
      </c>
      <c r="R9" s="5">
        <v>1</v>
      </c>
      <c r="S9" s="5">
        <v>1</v>
      </c>
    </row>
    <row r="10" spans="1:19" x14ac:dyDescent="0.2">
      <c r="A10" s="5" t="s">
        <v>46</v>
      </c>
      <c r="B10" s="5" t="s">
        <v>367</v>
      </c>
      <c r="C10" s="5" t="s">
        <v>368</v>
      </c>
      <c r="D10" s="5" t="str">
        <f t="shared" si="0"/>
        <v>"clathrin-coated endocytic vesicle",</v>
      </c>
      <c r="E10" s="5" t="s">
        <v>394</v>
      </c>
      <c r="F10" s="5" t="s">
        <v>597</v>
      </c>
      <c r="G10" s="5" t="str">
        <f t="shared" si="1"/>
        <v>"#0da285",</v>
      </c>
      <c r="H10" s="5">
        <v>2</v>
      </c>
      <c r="I10" s="5">
        <v>0.581395348837209</v>
      </c>
      <c r="J10" s="5">
        <v>6.6261384755483793E-2</v>
      </c>
      <c r="K10" s="9">
        <f t="shared" si="2"/>
        <v>1.1787394923088537</v>
      </c>
      <c r="L10" s="5" t="s">
        <v>54</v>
      </c>
      <c r="M10" s="5">
        <v>314</v>
      </c>
      <c r="N10" s="5">
        <v>5</v>
      </c>
      <c r="O10" s="5">
        <v>22986</v>
      </c>
      <c r="P10" s="5">
        <v>29.2815286624203</v>
      </c>
      <c r="Q10" s="5">
        <v>0.99999992346653099</v>
      </c>
      <c r="R10" s="5">
        <v>1</v>
      </c>
      <c r="S10" s="5">
        <v>1</v>
      </c>
    </row>
    <row r="11" spans="1:19" x14ac:dyDescent="0.2">
      <c r="A11" s="5" t="s">
        <v>46</v>
      </c>
      <c r="B11" s="5" t="s">
        <v>369</v>
      </c>
      <c r="C11" s="5" t="s">
        <v>370</v>
      </c>
      <c r="D11" s="5" t="str">
        <f t="shared" si="0"/>
        <v>"postsynaptic density membrane",</v>
      </c>
      <c r="E11" s="5" t="s">
        <v>394</v>
      </c>
      <c r="F11" s="5" t="s">
        <v>597</v>
      </c>
      <c r="G11" s="5" t="str">
        <f t="shared" si="1"/>
        <v>"#0da285",</v>
      </c>
      <c r="H11" s="5">
        <v>4</v>
      </c>
      <c r="I11" s="5">
        <v>1.16279069767441</v>
      </c>
      <c r="J11" s="5">
        <v>6.7992100804585301E-2</v>
      </c>
      <c r="K11" s="9">
        <f t="shared" si="2"/>
        <v>1.1675415398856956</v>
      </c>
      <c r="L11" s="5" t="s">
        <v>55</v>
      </c>
      <c r="M11" s="5">
        <v>314</v>
      </c>
      <c r="N11" s="5">
        <v>69</v>
      </c>
      <c r="O11" s="5">
        <v>22986</v>
      </c>
      <c r="P11" s="5">
        <v>4.2436998061478803</v>
      </c>
      <c r="Q11" s="5">
        <v>0.99999995087723703</v>
      </c>
      <c r="R11" s="5">
        <v>1</v>
      </c>
      <c r="S11" s="5">
        <v>1</v>
      </c>
    </row>
    <row r="12" spans="1:19" x14ac:dyDescent="0.2">
      <c r="A12" s="5" t="s">
        <v>46</v>
      </c>
      <c r="B12" s="5" t="s">
        <v>371</v>
      </c>
      <c r="C12" s="5" t="s">
        <v>372</v>
      </c>
      <c r="D12" s="5" t="str">
        <f t="shared" si="0"/>
        <v>"cell surface",</v>
      </c>
      <c r="E12" s="5" t="s">
        <v>394</v>
      </c>
      <c r="F12" s="5" t="s">
        <v>597</v>
      </c>
      <c r="G12" s="5" t="str">
        <f t="shared" si="1"/>
        <v>"#0da285",</v>
      </c>
      <c r="H12" s="5">
        <v>7</v>
      </c>
      <c r="I12" s="5">
        <v>2.03488372093023</v>
      </c>
      <c r="J12" s="5">
        <v>7.4900040212611402E-2</v>
      </c>
      <c r="K12" s="9">
        <f t="shared" si="2"/>
        <v>1.1255179491348386</v>
      </c>
      <c r="L12" s="5" t="s">
        <v>56</v>
      </c>
      <c r="M12" s="5">
        <v>314</v>
      </c>
      <c r="N12" s="5">
        <v>216</v>
      </c>
      <c r="O12" s="5">
        <v>22986</v>
      </c>
      <c r="P12" s="5">
        <v>2.3723460721868301</v>
      </c>
      <c r="Q12" s="5">
        <v>0.99999999169976705</v>
      </c>
      <c r="R12" s="5">
        <v>1</v>
      </c>
      <c r="S12" s="5">
        <v>1</v>
      </c>
    </row>
    <row r="13" spans="1:19" x14ac:dyDescent="0.2">
      <c r="A13" s="5" t="s">
        <v>46</v>
      </c>
      <c r="B13" s="5" t="s">
        <v>373</v>
      </c>
      <c r="C13" s="5" t="s">
        <v>374</v>
      </c>
      <c r="D13" s="5" t="str">
        <f t="shared" si="0"/>
        <v>"lamellipodium",</v>
      </c>
      <c r="E13" s="5" t="s">
        <v>394</v>
      </c>
      <c r="F13" s="5" t="s">
        <v>597</v>
      </c>
      <c r="G13" s="5" t="str">
        <f t="shared" si="1"/>
        <v>"#0da285",</v>
      </c>
      <c r="H13" s="5">
        <v>4</v>
      </c>
      <c r="I13" s="5">
        <v>1.16279069767441</v>
      </c>
      <c r="J13" s="5">
        <v>7.5178347576175295E-2</v>
      </c>
      <c r="K13" s="9">
        <f t="shared" si="2"/>
        <v>1.1239072243316457</v>
      </c>
      <c r="L13" s="5" t="s">
        <v>57</v>
      </c>
      <c r="M13" s="5">
        <v>314</v>
      </c>
      <c r="N13" s="5">
        <v>72</v>
      </c>
      <c r="O13" s="5">
        <v>22986</v>
      </c>
      <c r="P13" s="5">
        <v>4.0668789808917198</v>
      </c>
      <c r="Q13" s="5">
        <v>0.99999999227569503</v>
      </c>
      <c r="R13" s="5">
        <v>1</v>
      </c>
      <c r="S13" s="5">
        <v>1</v>
      </c>
    </row>
    <row r="14" spans="1:19" x14ac:dyDescent="0.2">
      <c r="A14" s="5" t="s">
        <v>46</v>
      </c>
      <c r="B14" s="5" t="s">
        <v>375</v>
      </c>
      <c r="C14" s="5" t="s">
        <v>376</v>
      </c>
      <c r="D14" s="5" t="str">
        <f t="shared" si="0"/>
        <v>"synapse",</v>
      </c>
      <c r="E14" s="5" t="s">
        <v>394</v>
      </c>
      <c r="F14" s="5" t="s">
        <v>597</v>
      </c>
      <c r="G14" s="5" t="str">
        <f t="shared" si="1"/>
        <v>"#0da285",</v>
      </c>
      <c r="H14" s="5">
        <v>12</v>
      </c>
      <c r="I14" s="5">
        <v>3.48837209302325</v>
      </c>
      <c r="J14" s="5">
        <v>7.9489086151267804E-2</v>
      </c>
      <c r="K14" s="9">
        <f t="shared" si="2"/>
        <v>1.0996924958674881</v>
      </c>
      <c r="L14" s="5" t="s">
        <v>58</v>
      </c>
      <c r="M14" s="5">
        <v>314</v>
      </c>
      <c r="N14" s="5">
        <v>497</v>
      </c>
      <c r="O14" s="5">
        <v>22986</v>
      </c>
      <c r="P14" s="5">
        <v>1.76749669994489</v>
      </c>
      <c r="Q14" s="5">
        <v>0.99999999747118395</v>
      </c>
      <c r="R14" s="5">
        <v>1</v>
      </c>
      <c r="S14" s="5">
        <v>1</v>
      </c>
    </row>
    <row r="15" spans="1:19" x14ac:dyDescent="0.2">
      <c r="A15" s="5" t="s">
        <v>46</v>
      </c>
      <c r="B15" s="5" t="s">
        <v>377</v>
      </c>
      <c r="C15" s="5" t="s">
        <v>378</v>
      </c>
      <c r="D15" s="5" t="str">
        <f t="shared" si="0"/>
        <v>"receptor complex",</v>
      </c>
      <c r="E15" s="5" t="s">
        <v>394</v>
      </c>
      <c r="F15" s="5" t="s">
        <v>597</v>
      </c>
      <c r="G15" s="5" t="str">
        <f t="shared" si="1"/>
        <v>"#0da285",</v>
      </c>
      <c r="H15" s="5">
        <v>6</v>
      </c>
      <c r="I15" s="5">
        <v>1.7441860465116199</v>
      </c>
      <c r="J15" s="5">
        <v>8.0918683627844906E-2</v>
      </c>
      <c r="K15" s="9">
        <f t="shared" si="2"/>
        <v>1.0919511908766799</v>
      </c>
      <c r="L15" s="5" t="s">
        <v>59</v>
      </c>
      <c r="M15" s="5">
        <v>314</v>
      </c>
      <c r="N15" s="5">
        <v>169</v>
      </c>
      <c r="O15" s="5">
        <v>22986</v>
      </c>
      <c r="P15" s="5">
        <v>2.5989522481438199</v>
      </c>
      <c r="Q15" s="5">
        <v>0.99999999825581998</v>
      </c>
      <c r="R15" s="5">
        <v>1</v>
      </c>
      <c r="S15" s="5">
        <v>1</v>
      </c>
    </row>
    <row r="16" spans="1:19" x14ac:dyDescent="0.2">
      <c r="A16" s="5" t="s">
        <v>46</v>
      </c>
      <c r="B16" s="5" t="s">
        <v>379</v>
      </c>
      <c r="C16" s="5" t="s">
        <v>380</v>
      </c>
      <c r="D16" s="5" t="str">
        <f t="shared" si="0"/>
        <v>"lysosomal membrane",</v>
      </c>
      <c r="E16" s="5" t="s">
        <v>394</v>
      </c>
      <c r="F16" s="5" t="s">
        <v>597</v>
      </c>
      <c r="G16" s="5" t="str">
        <f t="shared" si="1"/>
        <v>"#0da285",</v>
      </c>
      <c r="H16" s="5">
        <v>6</v>
      </c>
      <c r="I16" s="5">
        <v>1.7441860465116199</v>
      </c>
      <c r="J16" s="5">
        <v>8.1927052404654893E-2</v>
      </c>
      <c r="K16" s="9">
        <f t="shared" si="2"/>
        <v>1.0865726700328455</v>
      </c>
      <c r="L16" s="5" t="s">
        <v>60</v>
      </c>
      <c r="M16" s="5">
        <v>314</v>
      </c>
      <c r="N16" s="5">
        <v>170</v>
      </c>
      <c r="O16" s="5">
        <v>22986</v>
      </c>
      <c r="P16" s="5">
        <v>2.5836642937429701</v>
      </c>
      <c r="Q16" s="5">
        <v>0.99999999865832101</v>
      </c>
      <c r="R16" s="5">
        <v>1</v>
      </c>
      <c r="S16" s="5">
        <v>1</v>
      </c>
    </row>
    <row r="17" spans="1:19" x14ac:dyDescent="0.2">
      <c r="A17" s="5" t="s">
        <v>46</v>
      </c>
      <c r="B17" s="5" t="s">
        <v>381</v>
      </c>
      <c r="C17" s="5" t="s">
        <v>382</v>
      </c>
      <c r="D17" s="5" t="str">
        <f t="shared" si="0"/>
        <v>"microvillus",</v>
      </c>
      <c r="E17" s="5" t="s">
        <v>394</v>
      </c>
      <c r="F17" s="5" t="s">
        <v>597</v>
      </c>
      <c r="G17" s="5" t="str">
        <f t="shared" si="1"/>
        <v>"#0da285",</v>
      </c>
      <c r="H17" s="5">
        <v>3</v>
      </c>
      <c r="I17" s="5">
        <v>0.87209302325581395</v>
      </c>
      <c r="J17" s="5">
        <v>8.6065455724718104E-2</v>
      </c>
      <c r="K17" s="9">
        <f t="shared" si="2"/>
        <v>1.0651711272746123</v>
      </c>
      <c r="L17" s="5" t="s">
        <v>61</v>
      </c>
      <c r="M17" s="5">
        <v>314</v>
      </c>
      <c r="N17" s="5">
        <v>36</v>
      </c>
      <c r="O17" s="5">
        <v>22986</v>
      </c>
      <c r="P17" s="5">
        <v>6.1003184713375704</v>
      </c>
      <c r="Q17" s="5">
        <v>0.99999999954426999</v>
      </c>
      <c r="R17" s="5">
        <v>1</v>
      </c>
      <c r="S17" s="5">
        <v>1</v>
      </c>
    </row>
    <row r="18" spans="1:19" x14ac:dyDescent="0.2">
      <c r="A18" s="5" t="s">
        <v>46</v>
      </c>
      <c r="B18" s="5" t="s">
        <v>383</v>
      </c>
      <c r="C18" s="5" t="s">
        <v>384</v>
      </c>
      <c r="D18" s="5" t="str">
        <f t="shared" si="0"/>
        <v>"collagen-containing extracellular matrix",</v>
      </c>
      <c r="E18" s="5" t="s">
        <v>394</v>
      </c>
      <c r="F18" s="5" t="s">
        <v>597</v>
      </c>
      <c r="G18" s="5" t="str">
        <f t="shared" si="1"/>
        <v>"#0da285",</v>
      </c>
      <c r="H18" s="5">
        <v>7</v>
      </c>
      <c r="I18" s="5">
        <v>2.03488372093023</v>
      </c>
      <c r="J18" s="5">
        <v>8.8188692160963394E-2</v>
      </c>
      <c r="K18" s="9">
        <f t="shared" si="2"/>
        <v>1.054587097939951</v>
      </c>
      <c r="L18" s="5" t="s">
        <v>62</v>
      </c>
      <c r="M18" s="5">
        <v>314</v>
      </c>
      <c r="N18" s="5">
        <v>225</v>
      </c>
      <c r="O18" s="5">
        <v>22986</v>
      </c>
      <c r="P18" s="5">
        <v>2.2774522292993602</v>
      </c>
      <c r="Q18" s="5">
        <v>0.99999999973860998</v>
      </c>
      <c r="R18" s="5">
        <v>1</v>
      </c>
      <c r="S18" s="5">
        <v>1</v>
      </c>
    </row>
    <row r="19" spans="1:19" x14ac:dyDescent="0.2">
      <c r="A19" s="5" t="s">
        <v>46</v>
      </c>
      <c r="B19" s="5" t="s">
        <v>385</v>
      </c>
      <c r="C19" s="5" t="s">
        <v>386</v>
      </c>
      <c r="D19" s="5" t="str">
        <f t="shared" si="0"/>
        <v>"voltage-gated calcium channel complex",</v>
      </c>
      <c r="E19" s="5" t="s">
        <v>394</v>
      </c>
      <c r="F19" s="5" t="s">
        <v>597</v>
      </c>
      <c r="G19" s="5" t="str">
        <f t="shared" si="1"/>
        <v>"#0da285",</v>
      </c>
      <c r="H19" s="5">
        <v>3</v>
      </c>
      <c r="I19" s="5">
        <v>0.87209302325581395</v>
      </c>
      <c r="J19" s="5">
        <v>9.0194573564207306E-2</v>
      </c>
      <c r="K19" s="9">
        <f t="shared" si="2"/>
        <v>1.044819590418288</v>
      </c>
      <c r="L19" s="5" t="s">
        <v>63</v>
      </c>
      <c r="M19" s="5">
        <v>314</v>
      </c>
      <c r="N19" s="5">
        <v>37</v>
      </c>
      <c r="O19" s="5">
        <v>22986</v>
      </c>
      <c r="P19" s="5">
        <v>5.9354449991392597</v>
      </c>
      <c r="Q19" s="5">
        <v>0.99999999984558197</v>
      </c>
      <c r="R19" s="5">
        <v>1</v>
      </c>
      <c r="S19" s="5">
        <v>1</v>
      </c>
    </row>
    <row r="20" spans="1:19" x14ac:dyDescent="0.2">
      <c r="A20" s="5" t="s">
        <v>46</v>
      </c>
      <c r="B20" s="5" t="s">
        <v>387</v>
      </c>
      <c r="C20" s="5" t="s">
        <v>388</v>
      </c>
      <c r="D20" s="5" t="str">
        <f t="shared" si="0"/>
        <v>"ciliary basal body",</v>
      </c>
      <c r="E20" s="5" t="s">
        <v>394</v>
      </c>
      <c r="F20" s="5" t="s">
        <v>597</v>
      </c>
      <c r="G20" s="5" t="str">
        <f t="shared" si="1"/>
        <v>"#0da285",</v>
      </c>
      <c r="H20" s="5">
        <v>4</v>
      </c>
      <c r="I20" s="5">
        <v>1.16279069767441</v>
      </c>
      <c r="J20" s="5">
        <v>9.0500379635491707E-2</v>
      </c>
      <c r="K20" s="9">
        <f t="shared" si="2"/>
        <v>1.0433495989908921</v>
      </c>
      <c r="L20" s="5" t="s">
        <v>64</v>
      </c>
      <c r="M20" s="5">
        <v>314</v>
      </c>
      <c r="N20" s="5">
        <v>78</v>
      </c>
      <c r="O20" s="5">
        <v>22986</v>
      </c>
      <c r="P20" s="5">
        <v>3.7540421362077399</v>
      </c>
      <c r="Q20" s="5">
        <v>0.99999999985750399</v>
      </c>
      <c r="R20" s="5">
        <v>1</v>
      </c>
      <c r="S20" s="5">
        <v>1</v>
      </c>
    </row>
    <row r="21" spans="1:19" x14ac:dyDescent="0.2">
      <c r="A21" s="5" t="s">
        <v>46</v>
      </c>
      <c r="B21" s="5" t="s">
        <v>389</v>
      </c>
      <c r="C21" s="5" t="s">
        <v>390</v>
      </c>
      <c r="D21" s="5" t="str">
        <f t="shared" si="0"/>
        <v>"Golgi apparatus",</v>
      </c>
      <c r="E21" s="5" t="s">
        <v>394</v>
      </c>
      <c r="F21" s="5" t="s">
        <v>597</v>
      </c>
      <c r="G21" s="5" t="str">
        <f t="shared" si="1"/>
        <v>"#0da285",</v>
      </c>
      <c r="H21" s="5">
        <v>15</v>
      </c>
      <c r="I21" s="5">
        <v>4.3604651162790597</v>
      </c>
      <c r="J21" s="5">
        <v>9.0910488628793806E-2</v>
      </c>
      <c r="K21" s="9">
        <f t="shared" si="2"/>
        <v>1.0413860079680592</v>
      </c>
      <c r="L21" s="5" t="s">
        <v>65</v>
      </c>
      <c r="M21" s="5">
        <v>314</v>
      </c>
      <c r="N21" s="5">
        <v>690</v>
      </c>
      <c r="O21" s="5">
        <v>22986</v>
      </c>
      <c r="P21" s="5">
        <v>1.59138742730545</v>
      </c>
      <c r="Q21" s="5">
        <v>0.999999999872065</v>
      </c>
      <c r="R21" s="5">
        <v>1</v>
      </c>
      <c r="S21" s="5">
        <v>1</v>
      </c>
    </row>
    <row r="22" spans="1:19" x14ac:dyDescent="0.2">
      <c r="A22" s="5" t="s">
        <v>46</v>
      </c>
      <c r="B22" s="5" t="s">
        <v>391</v>
      </c>
      <c r="C22" s="5" t="s">
        <v>392</v>
      </c>
      <c r="D22" s="5" t="str">
        <f t="shared" si="0"/>
        <v>"centriole",</v>
      </c>
      <c r="E22" s="5" t="s">
        <v>394</v>
      </c>
      <c r="F22" s="5" t="s">
        <v>597</v>
      </c>
      <c r="G22" s="5" t="str">
        <f t="shared" si="1"/>
        <v>"#0da285",</v>
      </c>
      <c r="H22" s="5">
        <v>4</v>
      </c>
      <c r="I22" s="5">
        <v>1.16279069767441</v>
      </c>
      <c r="J22" s="5">
        <v>9.8610535744088706E-2</v>
      </c>
      <c r="K22" s="9">
        <f t="shared" si="2"/>
        <v>1.006076681701001</v>
      </c>
      <c r="L22" s="5" t="s">
        <v>66</v>
      </c>
      <c r="M22" s="5">
        <v>314</v>
      </c>
      <c r="N22" s="5">
        <v>81</v>
      </c>
      <c r="O22" s="5">
        <v>22986</v>
      </c>
      <c r="P22" s="5">
        <v>3.6150035385704098</v>
      </c>
      <c r="Q22" s="5">
        <v>0.99999999998324696</v>
      </c>
      <c r="R22" s="5">
        <v>1</v>
      </c>
      <c r="S22" s="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52FE-816E-1A4A-9EBE-35241728AA9B}">
  <dimension ref="A1:S25"/>
  <sheetViews>
    <sheetView workbookViewId="0">
      <selection activeCell="D2" sqref="D2:G2"/>
    </sheetView>
  </sheetViews>
  <sheetFormatPr baseColWidth="10" defaultRowHeight="16" x14ac:dyDescent="0.2"/>
  <cols>
    <col min="1" max="1" width="19.33203125" bestFit="1" customWidth="1"/>
    <col min="2" max="2" width="11.33203125" bestFit="1" customWidth="1"/>
    <col min="3" max="3" width="48.1640625" bestFit="1" customWidth="1"/>
    <col min="4" max="4" width="50.33203125" bestFit="1" customWidth="1"/>
    <col min="5" max="5" width="17" bestFit="1" customWidth="1"/>
    <col min="6" max="6" width="13" bestFit="1" customWidth="1"/>
    <col min="7" max="7" width="15.1640625" bestFit="1" customWidth="1"/>
    <col min="8" max="8" width="5.83203125" bestFit="1" customWidth="1"/>
    <col min="9" max="10" width="12.1640625" bestFit="1" customWidth="1"/>
    <col min="11" max="11" width="13.5" bestFit="1" customWidth="1"/>
    <col min="12" max="12" width="6.33203125" bestFit="1" customWidth="1"/>
    <col min="13" max="13" width="8.6640625" bestFit="1" customWidth="1"/>
    <col min="14" max="14" width="7.83203125" bestFit="1" customWidth="1"/>
    <col min="15" max="15" width="8.83203125" bestFit="1" customWidth="1"/>
    <col min="16" max="16" width="14.5" bestFit="1" customWidth="1"/>
    <col min="17" max="19" width="12.1640625" bestFit="1" customWidth="1"/>
  </cols>
  <sheetData>
    <row r="1" spans="1:19" s="3" customFormat="1" x14ac:dyDescent="0.2">
      <c r="A1" s="3" t="s">
        <v>2</v>
      </c>
      <c r="B1" s="3" t="s">
        <v>3</v>
      </c>
      <c r="C1" s="6" t="s">
        <v>348</v>
      </c>
      <c r="D1" s="6" t="s">
        <v>349</v>
      </c>
      <c r="E1" s="6" t="s">
        <v>2</v>
      </c>
      <c r="F1" s="3" t="s">
        <v>594</v>
      </c>
      <c r="G1" s="3" t="s">
        <v>595</v>
      </c>
      <c r="H1" s="3" t="s">
        <v>4</v>
      </c>
      <c r="I1" s="3" t="s">
        <v>5</v>
      </c>
      <c r="J1" s="3" t="s">
        <v>6</v>
      </c>
      <c r="K1" s="3" t="str">
        <f>"-Log10(Pvalue)"</f>
        <v>-Log10(Pvalue)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67</v>
      </c>
      <c r="B2" s="2" t="s">
        <v>300</v>
      </c>
      <c r="C2" s="2" t="s">
        <v>301</v>
      </c>
      <c r="D2" s="2" t="str">
        <f>CHAR(34)&amp;C2&amp;CHAR(34)&amp;","</f>
        <v>"ATP binding",</v>
      </c>
      <c r="E2" s="2" t="s">
        <v>393</v>
      </c>
      <c r="F2" s="2" t="s">
        <v>598</v>
      </c>
      <c r="G2" s="2" t="str">
        <f>CHAR(34)&amp;F2&amp;CHAR(34)&amp;","</f>
        <v>"#2c72ae",</v>
      </c>
      <c r="H2" s="2">
        <v>42</v>
      </c>
      <c r="I2" s="2">
        <v>12.2093023255813</v>
      </c>
      <c r="J2" s="2">
        <v>3.2163371834261602E-3</v>
      </c>
      <c r="K2" s="7">
        <f>-(LOG(J2))</f>
        <v>2.4926384284480654</v>
      </c>
      <c r="L2" s="2" t="s">
        <v>68</v>
      </c>
      <c r="M2" s="2">
        <v>300</v>
      </c>
      <c r="N2" s="2">
        <v>1921</v>
      </c>
      <c r="O2" s="2">
        <v>21736</v>
      </c>
      <c r="P2" s="2">
        <v>1.58409161894846</v>
      </c>
      <c r="Q2" s="2">
        <v>0.70026266769953005</v>
      </c>
      <c r="R2" s="2">
        <v>0.82972449458515896</v>
      </c>
      <c r="S2" s="2">
        <v>0.82972449458515896</v>
      </c>
    </row>
    <row r="3" spans="1:19" x14ac:dyDescent="0.2">
      <c r="A3" s="2" t="s">
        <v>67</v>
      </c>
      <c r="B3" s="2" t="s">
        <v>302</v>
      </c>
      <c r="C3" s="2" t="s">
        <v>303</v>
      </c>
      <c r="D3" s="2" t="str">
        <f t="shared" ref="D3:D25" si="0">CHAR(34)&amp;C3&amp;CHAR(34)&amp;","</f>
        <v>"transmembrane receptor protein tyrosine kinase activity",</v>
      </c>
      <c r="E3" s="2" t="s">
        <v>393</v>
      </c>
      <c r="F3" s="2" t="s">
        <v>598</v>
      </c>
      <c r="G3" s="2" t="str">
        <f t="shared" ref="G3:G25" si="1">CHAR(34)&amp;F3&amp;CHAR(34)&amp;","</f>
        <v>"#2c72ae",</v>
      </c>
      <c r="H3" s="2">
        <v>6</v>
      </c>
      <c r="I3" s="2">
        <v>1.7441860465116199</v>
      </c>
      <c r="J3" s="2">
        <v>4.43702938280834E-3</v>
      </c>
      <c r="K3" s="7">
        <f t="shared" ref="K3:K25" si="2">-(LOG(J3))</f>
        <v>2.3529076952975823</v>
      </c>
      <c r="L3" s="2" t="s">
        <v>69</v>
      </c>
      <c r="M3" s="2">
        <v>300</v>
      </c>
      <c r="N3" s="2">
        <v>78</v>
      </c>
      <c r="O3" s="2">
        <v>21736</v>
      </c>
      <c r="P3" s="2">
        <v>5.5733333333333297</v>
      </c>
      <c r="Q3" s="2">
        <v>0.81045739049867904</v>
      </c>
      <c r="R3" s="2">
        <v>0.82972449458515896</v>
      </c>
      <c r="S3" s="2">
        <v>0.82972449458515896</v>
      </c>
    </row>
    <row r="4" spans="1:19" x14ac:dyDescent="0.2">
      <c r="A4" t="s">
        <v>67</v>
      </c>
      <c r="B4" t="s">
        <v>304</v>
      </c>
      <c r="C4" t="s">
        <v>305</v>
      </c>
      <c r="D4" t="str">
        <f t="shared" si="0"/>
        <v>"ATP-dependent chromatin remodeler activity",</v>
      </c>
      <c r="E4" t="s">
        <v>393</v>
      </c>
      <c r="F4" t="s">
        <v>598</v>
      </c>
      <c r="G4" t="str">
        <f t="shared" si="1"/>
        <v>"#2c72ae",</v>
      </c>
      <c r="H4">
        <v>4</v>
      </c>
      <c r="I4">
        <v>1.16279069767441</v>
      </c>
      <c r="J4">
        <v>1.2186238427652801E-2</v>
      </c>
      <c r="K4" s="8">
        <f t="shared" si="2"/>
        <v>1.9141303290179696</v>
      </c>
      <c r="L4" t="s">
        <v>70</v>
      </c>
      <c r="M4">
        <v>300</v>
      </c>
      <c r="N4">
        <v>35</v>
      </c>
      <c r="O4">
        <v>21736</v>
      </c>
      <c r="P4">
        <v>8.2803809523809502</v>
      </c>
      <c r="Q4">
        <v>0.98980289261786403</v>
      </c>
      <c r="R4">
        <v>1</v>
      </c>
      <c r="S4">
        <v>1</v>
      </c>
    </row>
    <row r="5" spans="1:19" x14ac:dyDescent="0.2">
      <c r="A5" t="s">
        <v>67</v>
      </c>
      <c r="B5" t="s">
        <v>306</v>
      </c>
      <c r="C5" t="s">
        <v>307</v>
      </c>
      <c r="D5" t="str">
        <f t="shared" si="0"/>
        <v>"peptidase activity",</v>
      </c>
      <c r="E5" t="s">
        <v>393</v>
      </c>
      <c r="F5" t="s">
        <v>598</v>
      </c>
      <c r="G5" t="str">
        <f t="shared" si="1"/>
        <v>"#2c72ae",</v>
      </c>
      <c r="H5">
        <v>14</v>
      </c>
      <c r="I5">
        <v>4.0697674418604599</v>
      </c>
      <c r="J5">
        <v>1.36070160288268E-2</v>
      </c>
      <c r="K5" s="8">
        <f t="shared" si="2"/>
        <v>1.8662371036210521</v>
      </c>
      <c r="L5" t="s">
        <v>71</v>
      </c>
      <c r="M5">
        <v>300</v>
      </c>
      <c r="N5">
        <v>469</v>
      </c>
      <c r="O5">
        <v>21736</v>
      </c>
      <c r="P5">
        <v>2.16278606965174</v>
      </c>
      <c r="Q5">
        <v>0.99404762232477395</v>
      </c>
      <c r="R5">
        <v>1</v>
      </c>
      <c r="S5">
        <v>1</v>
      </c>
    </row>
    <row r="6" spans="1:19" x14ac:dyDescent="0.2">
      <c r="A6" t="s">
        <v>67</v>
      </c>
      <c r="B6" t="s">
        <v>308</v>
      </c>
      <c r="C6" t="s">
        <v>309</v>
      </c>
      <c r="D6" t="str">
        <f t="shared" si="0"/>
        <v>"nucleotide binding",</v>
      </c>
      <c r="E6" t="s">
        <v>393</v>
      </c>
      <c r="F6" t="s">
        <v>598</v>
      </c>
      <c r="G6" t="str">
        <f t="shared" si="1"/>
        <v>"#2c72ae",</v>
      </c>
      <c r="H6">
        <v>39</v>
      </c>
      <c r="I6">
        <v>11.337209302325499</v>
      </c>
      <c r="J6">
        <v>1.554907988445E-2</v>
      </c>
      <c r="K6" s="8">
        <f t="shared" si="2"/>
        <v>1.8082953052177886</v>
      </c>
      <c r="L6" t="s">
        <v>72</v>
      </c>
      <c r="M6">
        <v>300</v>
      </c>
      <c r="N6">
        <v>1927</v>
      </c>
      <c r="O6">
        <v>21736</v>
      </c>
      <c r="P6">
        <v>1.4663622210690099</v>
      </c>
      <c r="Q6">
        <v>0.99715172518134598</v>
      </c>
      <c r="R6">
        <v>1</v>
      </c>
      <c r="S6">
        <v>1</v>
      </c>
    </row>
    <row r="7" spans="1:19" x14ac:dyDescent="0.2">
      <c r="A7" t="s">
        <v>67</v>
      </c>
      <c r="B7" t="s">
        <v>310</v>
      </c>
      <c r="C7" t="s">
        <v>311</v>
      </c>
      <c r="D7" t="str">
        <f t="shared" si="0"/>
        <v>"fibroblast growth factor binding",</v>
      </c>
      <c r="E7" t="s">
        <v>393</v>
      </c>
      <c r="F7" t="s">
        <v>598</v>
      </c>
      <c r="G7" t="str">
        <f t="shared" si="1"/>
        <v>"#2c72ae",</v>
      </c>
      <c r="H7">
        <v>3</v>
      </c>
      <c r="I7">
        <v>0.87209302325581395</v>
      </c>
      <c r="J7">
        <v>1.9929348557505101E-2</v>
      </c>
      <c r="K7" s="8">
        <f t="shared" si="2"/>
        <v>1.7005068971100852</v>
      </c>
      <c r="L7" t="s">
        <v>73</v>
      </c>
      <c r="M7">
        <v>300</v>
      </c>
      <c r="N7">
        <v>16</v>
      </c>
      <c r="O7">
        <v>21736</v>
      </c>
      <c r="P7">
        <v>13.585000000000001</v>
      </c>
      <c r="Q7">
        <v>0.99946264446768895</v>
      </c>
      <c r="R7">
        <v>1</v>
      </c>
      <c r="S7">
        <v>1</v>
      </c>
    </row>
    <row r="8" spans="1:19" x14ac:dyDescent="0.2">
      <c r="A8" t="s">
        <v>67</v>
      </c>
      <c r="B8" t="s">
        <v>312</v>
      </c>
      <c r="C8" t="s">
        <v>313</v>
      </c>
      <c r="D8" t="str">
        <f t="shared" si="0"/>
        <v>"hydrolase activity",</v>
      </c>
      <c r="E8" t="s">
        <v>393</v>
      </c>
      <c r="F8" t="s">
        <v>598</v>
      </c>
      <c r="G8" t="str">
        <f t="shared" si="1"/>
        <v>"#2c72ae",</v>
      </c>
      <c r="H8">
        <v>31</v>
      </c>
      <c r="I8">
        <v>9.0116279069767398</v>
      </c>
      <c r="J8">
        <v>2.79476178159308E-2</v>
      </c>
      <c r="K8" s="8">
        <f t="shared" si="2"/>
        <v>1.553655204360274</v>
      </c>
      <c r="L8" t="s">
        <v>74</v>
      </c>
      <c r="M8">
        <v>300</v>
      </c>
      <c r="N8">
        <v>1512</v>
      </c>
      <c r="O8">
        <v>21736</v>
      </c>
      <c r="P8">
        <v>1.48548500881834</v>
      </c>
      <c r="Q8">
        <v>0.999975115084203</v>
      </c>
      <c r="R8">
        <v>1</v>
      </c>
      <c r="S8">
        <v>1</v>
      </c>
    </row>
    <row r="9" spans="1:19" x14ac:dyDescent="0.2">
      <c r="A9" t="s">
        <v>67</v>
      </c>
      <c r="B9" t="s">
        <v>314</v>
      </c>
      <c r="C9" t="s">
        <v>315</v>
      </c>
      <c r="D9" t="str">
        <f t="shared" si="0"/>
        <v>"GTPase activator activity",</v>
      </c>
      <c r="E9" t="s">
        <v>393</v>
      </c>
      <c r="F9" t="s">
        <v>598</v>
      </c>
      <c r="G9" t="str">
        <f t="shared" si="1"/>
        <v>"#2c72ae",</v>
      </c>
      <c r="H9">
        <v>9</v>
      </c>
      <c r="I9">
        <v>2.6162790697674398</v>
      </c>
      <c r="J9">
        <v>2.9663571164498699E-2</v>
      </c>
      <c r="K9" s="8">
        <f t="shared" si="2"/>
        <v>1.5277765659281961</v>
      </c>
      <c r="L9" t="s">
        <v>75</v>
      </c>
      <c r="M9">
        <v>300</v>
      </c>
      <c r="N9">
        <v>263</v>
      </c>
      <c r="O9">
        <v>21736</v>
      </c>
      <c r="P9">
        <v>2.4793916349809799</v>
      </c>
      <c r="Q9">
        <v>0.99998714850265702</v>
      </c>
      <c r="R9">
        <v>1</v>
      </c>
      <c r="S9">
        <v>1</v>
      </c>
    </row>
    <row r="10" spans="1:19" x14ac:dyDescent="0.2">
      <c r="A10" t="s">
        <v>67</v>
      </c>
      <c r="B10" t="s">
        <v>316</v>
      </c>
      <c r="C10" t="s">
        <v>317</v>
      </c>
      <c r="D10" t="str">
        <f t="shared" si="0"/>
        <v>"monoatomic ion channel activity",</v>
      </c>
      <c r="E10" t="s">
        <v>393</v>
      </c>
      <c r="F10" t="s">
        <v>598</v>
      </c>
      <c r="G10" t="str">
        <f t="shared" si="1"/>
        <v>"#2c72ae",</v>
      </c>
      <c r="H10">
        <v>8</v>
      </c>
      <c r="I10">
        <v>2.3255813953488298</v>
      </c>
      <c r="J10">
        <v>2.9699395521581198E-2</v>
      </c>
      <c r="K10" s="8">
        <f t="shared" si="2"/>
        <v>1.527252389885255</v>
      </c>
      <c r="L10" t="s">
        <v>76</v>
      </c>
      <c r="M10">
        <v>300</v>
      </c>
      <c r="N10">
        <v>215</v>
      </c>
      <c r="O10">
        <v>21736</v>
      </c>
      <c r="P10">
        <v>2.69593798449612</v>
      </c>
      <c r="Q10">
        <v>0.99998732473859198</v>
      </c>
      <c r="R10">
        <v>1</v>
      </c>
      <c r="S10">
        <v>1</v>
      </c>
    </row>
    <row r="11" spans="1:19" x14ac:dyDescent="0.2">
      <c r="A11" t="s">
        <v>67</v>
      </c>
      <c r="B11" t="s">
        <v>318</v>
      </c>
      <c r="C11" t="s">
        <v>319</v>
      </c>
      <c r="D11" t="str">
        <f t="shared" si="0"/>
        <v>"protein tyrosine kinase activity",</v>
      </c>
      <c r="E11" t="s">
        <v>393</v>
      </c>
      <c r="F11" t="s">
        <v>598</v>
      </c>
      <c r="G11" t="str">
        <f t="shared" si="1"/>
        <v>"#2c72ae",</v>
      </c>
      <c r="H11">
        <v>6</v>
      </c>
      <c r="I11">
        <v>1.7441860465116199</v>
      </c>
      <c r="J11">
        <v>3.2125314844817301E-2</v>
      </c>
      <c r="K11" s="8">
        <f t="shared" si="2"/>
        <v>1.4931526073276757</v>
      </c>
      <c r="L11" t="s">
        <v>69</v>
      </c>
      <c r="M11">
        <v>300</v>
      </c>
      <c r="N11">
        <v>128</v>
      </c>
      <c r="O11">
        <v>21736</v>
      </c>
      <c r="P11">
        <v>3.3962500000000002</v>
      </c>
      <c r="Q11">
        <v>0.99999503001597001</v>
      </c>
      <c r="R11">
        <v>1</v>
      </c>
      <c r="S11">
        <v>1</v>
      </c>
    </row>
    <row r="12" spans="1:19" x14ac:dyDescent="0.2">
      <c r="A12" t="s">
        <v>67</v>
      </c>
      <c r="B12" t="s">
        <v>320</v>
      </c>
      <c r="C12" t="s">
        <v>321</v>
      </c>
      <c r="D12" t="str">
        <f t="shared" si="0"/>
        <v>"voltage-gated calcium channel activity",</v>
      </c>
      <c r="E12" t="s">
        <v>393</v>
      </c>
      <c r="F12" t="s">
        <v>598</v>
      </c>
      <c r="G12" t="str">
        <f t="shared" si="1"/>
        <v>"#2c72ae",</v>
      </c>
      <c r="H12">
        <v>4</v>
      </c>
      <c r="I12">
        <v>1.16279069767441</v>
      </c>
      <c r="J12">
        <v>3.3047485813905597E-2</v>
      </c>
      <c r="K12" s="8">
        <f t="shared" si="2"/>
        <v>1.4808615751701986</v>
      </c>
      <c r="L12" t="s">
        <v>77</v>
      </c>
      <c r="M12">
        <v>300</v>
      </c>
      <c r="N12">
        <v>51</v>
      </c>
      <c r="O12">
        <v>21736</v>
      </c>
      <c r="P12">
        <v>5.6826143790849599</v>
      </c>
      <c r="Q12">
        <v>0.99999652043494203</v>
      </c>
      <c r="R12">
        <v>1</v>
      </c>
      <c r="S12">
        <v>1</v>
      </c>
    </row>
    <row r="13" spans="1:19" x14ac:dyDescent="0.2">
      <c r="A13" t="s">
        <v>67</v>
      </c>
      <c r="B13" t="s">
        <v>322</v>
      </c>
      <c r="C13" t="s">
        <v>323</v>
      </c>
      <c r="D13" t="str">
        <f t="shared" si="0"/>
        <v>"calcium channel activity",</v>
      </c>
      <c r="E13" t="s">
        <v>393</v>
      </c>
      <c r="F13" t="s">
        <v>598</v>
      </c>
      <c r="G13" t="str">
        <f t="shared" si="1"/>
        <v>"#2c72ae",</v>
      </c>
      <c r="H13">
        <v>5</v>
      </c>
      <c r="I13">
        <v>1.4534883720930201</v>
      </c>
      <c r="J13">
        <v>3.8244052402529198E-2</v>
      </c>
      <c r="K13" s="8">
        <f t="shared" si="2"/>
        <v>1.4174360954019329</v>
      </c>
      <c r="L13" t="s">
        <v>33</v>
      </c>
      <c r="M13">
        <v>300</v>
      </c>
      <c r="N13">
        <v>92</v>
      </c>
      <c r="O13">
        <v>21736</v>
      </c>
      <c r="P13">
        <v>3.9376811594202801</v>
      </c>
      <c r="Q13">
        <v>0.99999953626979399</v>
      </c>
      <c r="R13">
        <v>1</v>
      </c>
      <c r="S13">
        <v>1</v>
      </c>
    </row>
    <row r="14" spans="1:19" x14ac:dyDescent="0.2">
      <c r="A14" t="s">
        <v>67</v>
      </c>
      <c r="B14" t="s">
        <v>324</v>
      </c>
      <c r="C14" t="s">
        <v>325</v>
      </c>
      <c r="D14" t="str">
        <f t="shared" si="0"/>
        <v>"calcium ion binding",</v>
      </c>
      <c r="E14" t="s">
        <v>393</v>
      </c>
      <c r="F14" t="s">
        <v>598</v>
      </c>
      <c r="G14" t="str">
        <f t="shared" si="1"/>
        <v>"#2c72ae",</v>
      </c>
      <c r="H14">
        <v>18</v>
      </c>
      <c r="I14">
        <v>5.2325581395348797</v>
      </c>
      <c r="J14">
        <v>4.9827994108021599E-2</v>
      </c>
      <c r="K14" s="8">
        <f t="shared" si="2"/>
        <v>1.3025265955773253</v>
      </c>
      <c r="L14" t="s">
        <v>78</v>
      </c>
      <c r="M14">
        <v>300</v>
      </c>
      <c r="N14">
        <v>796</v>
      </c>
      <c r="O14">
        <v>21736</v>
      </c>
      <c r="P14">
        <v>1.63839195979899</v>
      </c>
      <c r="Q14">
        <v>0.99999999501075898</v>
      </c>
      <c r="R14">
        <v>1</v>
      </c>
      <c r="S14">
        <v>1</v>
      </c>
    </row>
    <row r="15" spans="1:19" x14ac:dyDescent="0.2">
      <c r="A15" s="5" t="s">
        <v>67</v>
      </c>
      <c r="B15" s="5" t="s">
        <v>326</v>
      </c>
      <c r="C15" s="5" t="s">
        <v>327</v>
      </c>
      <c r="D15" s="5" t="str">
        <f t="shared" si="0"/>
        <v>"insulin receptor activity",</v>
      </c>
      <c r="E15" s="5" t="s">
        <v>393</v>
      </c>
      <c r="F15" s="5" t="s">
        <v>598</v>
      </c>
      <c r="G15" s="5" t="str">
        <f t="shared" si="1"/>
        <v>"#2c72ae",</v>
      </c>
      <c r="H15" s="5">
        <v>2</v>
      </c>
      <c r="I15" s="5">
        <v>0.581395348837209</v>
      </c>
      <c r="J15" s="5">
        <v>5.3902580619255E-2</v>
      </c>
      <c r="K15" s="9">
        <f t="shared" si="2"/>
        <v>1.2683904421996501</v>
      </c>
      <c r="L15" s="5" t="s">
        <v>53</v>
      </c>
      <c r="M15" s="5">
        <v>300</v>
      </c>
      <c r="N15" s="5">
        <v>4</v>
      </c>
      <c r="O15" s="5">
        <v>21736</v>
      </c>
      <c r="P15" s="5">
        <v>36.226666666666603</v>
      </c>
      <c r="Q15" s="5">
        <v>0.99999999899997505</v>
      </c>
      <c r="R15" s="5">
        <v>1</v>
      </c>
      <c r="S15" s="5">
        <v>1</v>
      </c>
    </row>
    <row r="16" spans="1:19" x14ac:dyDescent="0.2">
      <c r="A16" s="5" t="s">
        <v>67</v>
      </c>
      <c r="B16" s="5" t="s">
        <v>328</v>
      </c>
      <c r="C16" s="5" t="s">
        <v>329</v>
      </c>
      <c r="D16" s="5" t="str">
        <f t="shared" si="0"/>
        <v>"insulin receptor substrate binding",</v>
      </c>
      <c r="E16" s="5" t="s">
        <v>393</v>
      </c>
      <c r="F16" s="5" t="s">
        <v>598</v>
      </c>
      <c r="G16" s="5" t="str">
        <f t="shared" si="1"/>
        <v>"#2c72ae",</v>
      </c>
      <c r="H16" s="5">
        <v>2</v>
      </c>
      <c r="I16" s="5">
        <v>0.581395348837209</v>
      </c>
      <c r="J16" s="5">
        <v>5.3902580619255E-2</v>
      </c>
      <c r="K16" s="9">
        <f t="shared" si="2"/>
        <v>1.2683904421996501</v>
      </c>
      <c r="L16" s="5" t="s">
        <v>53</v>
      </c>
      <c r="M16" s="5">
        <v>300</v>
      </c>
      <c r="N16" s="5">
        <v>4</v>
      </c>
      <c r="O16" s="5">
        <v>21736</v>
      </c>
      <c r="P16" s="5">
        <v>36.226666666666603</v>
      </c>
      <c r="Q16" s="5">
        <v>0.99999999899997505</v>
      </c>
      <c r="R16" s="5">
        <v>1</v>
      </c>
      <c r="S16" s="5">
        <v>1</v>
      </c>
    </row>
    <row r="17" spans="1:19" x14ac:dyDescent="0.2">
      <c r="A17" s="5" t="s">
        <v>67</v>
      </c>
      <c r="B17" s="5" t="s">
        <v>330</v>
      </c>
      <c r="C17" s="5" t="s">
        <v>331</v>
      </c>
      <c r="D17" s="5" t="str">
        <f t="shared" si="0"/>
        <v>"GABA-A receptor activity",</v>
      </c>
      <c r="E17" s="5" t="s">
        <v>393</v>
      </c>
      <c r="F17" s="5" t="s">
        <v>598</v>
      </c>
      <c r="G17" s="5" t="str">
        <f t="shared" si="1"/>
        <v>"#2c72ae",</v>
      </c>
      <c r="H17" s="5">
        <v>3</v>
      </c>
      <c r="I17" s="5">
        <v>0.87209302325581395</v>
      </c>
      <c r="J17" s="5">
        <v>5.6385792742375297E-2</v>
      </c>
      <c r="K17" s="9">
        <f t="shared" si="2"/>
        <v>1.2488303093296644</v>
      </c>
      <c r="L17" s="5" t="s">
        <v>35</v>
      </c>
      <c r="M17" s="5">
        <v>300</v>
      </c>
      <c r="N17" s="5">
        <v>28</v>
      </c>
      <c r="O17" s="5">
        <v>21736</v>
      </c>
      <c r="P17" s="5">
        <v>7.7628571428571398</v>
      </c>
      <c r="Q17" s="5">
        <v>0.99999999962577502</v>
      </c>
      <c r="R17" s="5">
        <v>1</v>
      </c>
      <c r="S17" s="5">
        <v>1</v>
      </c>
    </row>
    <row r="18" spans="1:19" x14ac:dyDescent="0.2">
      <c r="A18" s="5" t="s">
        <v>67</v>
      </c>
      <c r="B18" s="5" t="s">
        <v>332</v>
      </c>
      <c r="C18" s="5" t="s">
        <v>333</v>
      </c>
      <c r="D18" s="5" t="str">
        <f t="shared" si="0"/>
        <v>"armadillo repeat domain binding",</v>
      </c>
      <c r="E18" s="5" t="s">
        <v>393</v>
      </c>
      <c r="F18" s="5" t="s">
        <v>598</v>
      </c>
      <c r="G18" s="5" t="str">
        <f t="shared" si="1"/>
        <v>"#2c72ae",</v>
      </c>
      <c r="H18" s="5">
        <v>2</v>
      </c>
      <c r="I18" s="5">
        <v>0.581395348837209</v>
      </c>
      <c r="J18" s="5">
        <v>6.69194740692831E-2</v>
      </c>
      <c r="K18" s="9">
        <f t="shared" si="2"/>
        <v>1.1744474808851626</v>
      </c>
      <c r="L18" s="5" t="s">
        <v>79</v>
      </c>
      <c r="M18" s="5">
        <v>300</v>
      </c>
      <c r="N18" s="5">
        <v>5</v>
      </c>
      <c r="O18" s="5">
        <v>21736</v>
      </c>
      <c r="P18" s="5">
        <v>28.9813333333333</v>
      </c>
      <c r="Q18" s="5">
        <v>0.99999999999437905</v>
      </c>
      <c r="R18" s="5">
        <v>1</v>
      </c>
      <c r="S18" s="5">
        <v>1</v>
      </c>
    </row>
    <row r="19" spans="1:19" x14ac:dyDescent="0.2">
      <c r="A19" s="5" t="s">
        <v>67</v>
      </c>
      <c r="B19" s="5" t="s">
        <v>334</v>
      </c>
      <c r="C19" s="5" t="s">
        <v>335</v>
      </c>
      <c r="D19" s="5" t="str">
        <f t="shared" si="0"/>
        <v>"protein binding",</v>
      </c>
      <c r="E19" s="5" t="s">
        <v>393</v>
      </c>
      <c r="F19" s="5" t="s">
        <v>598</v>
      </c>
      <c r="G19" s="5" t="str">
        <f t="shared" si="1"/>
        <v>"#2c72ae",</v>
      </c>
      <c r="H19" s="5">
        <v>10</v>
      </c>
      <c r="I19" s="5">
        <v>2.9069767441860401</v>
      </c>
      <c r="J19" s="5">
        <v>7.9689008276355097E-2</v>
      </c>
      <c r="K19" s="9">
        <f t="shared" si="2"/>
        <v>1.0986015779029017</v>
      </c>
      <c r="L19" s="5" t="s">
        <v>80</v>
      </c>
      <c r="M19" s="5">
        <v>300</v>
      </c>
      <c r="N19" s="5">
        <v>379</v>
      </c>
      <c r="O19" s="5">
        <v>21736</v>
      </c>
      <c r="P19" s="5">
        <v>1.9116974494283201</v>
      </c>
      <c r="Q19" s="5">
        <v>0.99999999999996703</v>
      </c>
      <c r="R19" s="5">
        <v>1</v>
      </c>
      <c r="S19" s="5">
        <v>1</v>
      </c>
    </row>
    <row r="20" spans="1:19" x14ac:dyDescent="0.2">
      <c r="A20" s="5" t="s">
        <v>67</v>
      </c>
      <c r="B20" s="5" t="s">
        <v>336</v>
      </c>
      <c r="C20" s="5" t="s">
        <v>337</v>
      </c>
      <c r="D20" s="5" t="str">
        <f t="shared" si="0"/>
        <v>"synaptic receptor adaptor activity",</v>
      </c>
      <c r="E20" s="5" t="s">
        <v>393</v>
      </c>
      <c r="F20" s="5" t="s">
        <v>598</v>
      </c>
      <c r="G20" s="5" t="str">
        <f t="shared" si="1"/>
        <v>"#2c72ae",</v>
      </c>
      <c r="H20" s="5">
        <v>2</v>
      </c>
      <c r="I20" s="5">
        <v>0.581395348837209</v>
      </c>
      <c r="J20" s="5">
        <v>7.9757865178163995E-2</v>
      </c>
      <c r="K20" s="9">
        <f t="shared" si="2"/>
        <v>1.0982264789911746</v>
      </c>
      <c r="L20" s="5" t="s">
        <v>81</v>
      </c>
      <c r="M20" s="5">
        <v>300</v>
      </c>
      <c r="N20" s="5">
        <v>6</v>
      </c>
      <c r="O20" s="5">
        <v>21736</v>
      </c>
      <c r="P20" s="5">
        <v>24.151111111111099</v>
      </c>
      <c r="Q20" s="5">
        <v>0.99999999999996803</v>
      </c>
      <c r="R20" s="5">
        <v>1</v>
      </c>
      <c r="S20" s="5">
        <v>1</v>
      </c>
    </row>
    <row r="21" spans="1:19" x14ac:dyDescent="0.2">
      <c r="A21" s="5" t="s">
        <v>67</v>
      </c>
      <c r="B21" s="5" t="s">
        <v>338</v>
      </c>
      <c r="C21" s="5" t="s">
        <v>339</v>
      </c>
      <c r="D21" s="5" t="str">
        <f t="shared" si="0"/>
        <v>"kinase activity",</v>
      </c>
      <c r="E21" s="5" t="s">
        <v>393</v>
      </c>
      <c r="F21" s="5" t="s">
        <v>598</v>
      </c>
      <c r="G21" s="5" t="str">
        <f t="shared" si="1"/>
        <v>"#2c72ae",</v>
      </c>
      <c r="H21" s="5">
        <v>20</v>
      </c>
      <c r="I21" s="5">
        <v>5.81395348837209</v>
      </c>
      <c r="J21" s="5">
        <v>8.6581964139908305E-2</v>
      </c>
      <c r="K21" s="9">
        <f t="shared" si="2"/>
        <v>1.0625725663000818</v>
      </c>
      <c r="L21" s="5" t="s">
        <v>82</v>
      </c>
      <c r="M21" s="5">
        <v>300</v>
      </c>
      <c r="N21" s="5">
        <v>984</v>
      </c>
      <c r="O21" s="5">
        <v>21736</v>
      </c>
      <c r="P21" s="5">
        <v>1.4726287262872599</v>
      </c>
      <c r="Q21" s="5">
        <v>0.999999999999998</v>
      </c>
      <c r="R21" s="5">
        <v>1</v>
      </c>
      <c r="S21" s="5">
        <v>1</v>
      </c>
    </row>
    <row r="22" spans="1:19" x14ac:dyDescent="0.2">
      <c r="A22" s="5" t="s">
        <v>67</v>
      </c>
      <c r="B22" s="5" t="s">
        <v>340</v>
      </c>
      <c r="C22" s="5" t="s">
        <v>341</v>
      </c>
      <c r="D22" s="5" t="str">
        <f t="shared" si="0"/>
        <v>"fibroblast growth factor receptor activity",</v>
      </c>
      <c r="E22" s="5" t="s">
        <v>393</v>
      </c>
      <c r="F22" s="5" t="s">
        <v>598</v>
      </c>
      <c r="G22" s="5" t="str">
        <f t="shared" si="1"/>
        <v>"#2c72ae",</v>
      </c>
      <c r="H22" s="5">
        <v>2</v>
      </c>
      <c r="I22" s="5">
        <v>0.581395348837209</v>
      </c>
      <c r="J22" s="5">
        <v>9.2420193676621895E-2</v>
      </c>
      <c r="K22" s="9">
        <f t="shared" si="2"/>
        <v>1.0342331257047837</v>
      </c>
      <c r="L22" s="5" t="s">
        <v>83</v>
      </c>
      <c r="M22" s="5">
        <v>300</v>
      </c>
      <c r="N22" s="5">
        <v>7</v>
      </c>
      <c r="O22" s="5">
        <v>21736</v>
      </c>
      <c r="P22" s="5">
        <v>20.700952380952302</v>
      </c>
      <c r="Q22" s="5">
        <v>0.999999999999999</v>
      </c>
      <c r="R22" s="5">
        <v>1</v>
      </c>
      <c r="S22" s="5">
        <v>1</v>
      </c>
    </row>
    <row r="23" spans="1:19" x14ac:dyDescent="0.2">
      <c r="A23" s="5" t="s">
        <v>67</v>
      </c>
      <c r="B23" s="5" t="s">
        <v>342</v>
      </c>
      <c r="C23" s="5" t="s">
        <v>343</v>
      </c>
      <c r="D23" s="5" t="str">
        <f t="shared" si="0"/>
        <v>"cytokine activity",</v>
      </c>
      <c r="E23" s="5" t="s">
        <v>393</v>
      </c>
      <c r="F23" s="5" t="s">
        <v>598</v>
      </c>
      <c r="G23" s="5" t="str">
        <f t="shared" si="1"/>
        <v>"#2c72ae",</v>
      </c>
      <c r="H23" s="5">
        <v>6</v>
      </c>
      <c r="I23" s="5">
        <v>1.7441860465116199</v>
      </c>
      <c r="J23" s="5">
        <v>9.2832799526915005E-2</v>
      </c>
      <c r="K23" s="9">
        <f t="shared" si="2"/>
        <v>1.0322985524793771</v>
      </c>
      <c r="L23" s="5" t="s">
        <v>84</v>
      </c>
      <c r="M23" s="5">
        <v>300</v>
      </c>
      <c r="N23" s="5">
        <v>174</v>
      </c>
      <c r="O23" s="5">
        <v>21736</v>
      </c>
      <c r="P23" s="5">
        <v>2.4983908045977001</v>
      </c>
      <c r="Q23" s="5">
        <v>0.999999999999999</v>
      </c>
      <c r="R23" s="5">
        <v>1</v>
      </c>
      <c r="S23" s="5">
        <v>1</v>
      </c>
    </row>
    <row r="24" spans="1:19" x14ac:dyDescent="0.2">
      <c r="A24" s="5" t="s">
        <v>67</v>
      </c>
      <c r="B24" s="5" t="s">
        <v>344</v>
      </c>
      <c r="C24" s="5" t="s">
        <v>345</v>
      </c>
      <c r="D24" s="5" t="str">
        <f t="shared" si="0"/>
        <v>"ligand-gated monoatomic ion channel activity",</v>
      </c>
      <c r="E24" s="5" t="s">
        <v>393</v>
      </c>
      <c r="F24" s="5" t="s">
        <v>598</v>
      </c>
      <c r="G24" s="5" t="str">
        <f t="shared" si="1"/>
        <v>"#2c72ae",</v>
      </c>
      <c r="H24" s="5">
        <v>3</v>
      </c>
      <c r="I24" s="5">
        <v>0.87209302325581395</v>
      </c>
      <c r="J24" s="5">
        <v>9.6002920891505694E-2</v>
      </c>
      <c r="K24" s="9">
        <f t="shared" si="2"/>
        <v>1.0177155533378746</v>
      </c>
      <c r="L24" s="5" t="s">
        <v>85</v>
      </c>
      <c r="M24" s="5">
        <v>300</v>
      </c>
      <c r="N24" s="5">
        <v>38</v>
      </c>
      <c r="O24" s="5">
        <v>21736</v>
      </c>
      <c r="P24" s="5">
        <v>5.72</v>
      </c>
      <c r="Q24" s="5">
        <v>1</v>
      </c>
      <c r="R24" s="5">
        <v>1</v>
      </c>
      <c r="S24" s="5">
        <v>1</v>
      </c>
    </row>
    <row r="25" spans="1:19" x14ac:dyDescent="0.2">
      <c r="A25" s="5" t="s">
        <v>67</v>
      </c>
      <c r="B25" s="5" t="s">
        <v>346</v>
      </c>
      <c r="C25" s="5" t="s">
        <v>347</v>
      </c>
      <c r="D25" s="5" t="str">
        <f t="shared" si="0"/>
        <v>"metal ion binding",</v>
      </c>
      <c r="E25" s="5" t="s">
        <v>393</v>
      </c>
      <c r="F25" s="5" t="s">
        <v>598</v>
      </c>
      <c r="G25" s="5" t="str">
        <f t="shared" si="1"/>
        <v>"#2c72ae",</v>
      </c>
      <c r="H25" s="5">
        <v>63</v>
      </c>
      <c r="I25" s="5">
        <v>18.313953488372</v>
      </c>
      <c r="J25" s="5">
        <v>9.8061501320193201E-2</v>
      </c>
      <c r="K25" s="9">
        <f t="shared" si="2"/>
        <v>1.0085014619965886</v>
      </c>
      <c r="L25" s="5" t="s">
        <v>86</v>
      </c>
      <c r="M25" s="5">
        <v>300</v>
      </c>
      <c r="N25" s="5">
        <v>3850</v>
      </c>
      <c r="O25" s="5">
        <v>21736</v>
      </c>
      <c r="P25" s="5">
        <v>1.1856</v>
      </c>
      <c r="Q25" s="5">
        <v>1</v>
      </c>
      <c r="R25" s="5">
        <v>1</v>
      </c>
      <c r="S25" s="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D077-E308-2744-88C9-43B114EFB1E2}">
  <dimension ref="A1:D93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420</v>
      </c>
      <c r="B2" s="2" t="s">
        <v>350</v>
      </c>
      <c r="C2" s="2">
        <v>30</v>
      </c>
      <c r="D2" s="7">
        <v>2.6596077123574791</v>
      </c>
    </row>
    <row r="3" spans="1:4" x14ac:dyDescent="0.2">
      <c r="A3" s="2" t="s">
        <v>412</v>
      </c>
      <c r="B3" s="2" t="s">
        <v>350</v>
      </c>
      <c r="C3" s="2">
        <v>35</v>
      </c>
      <c r="D3" s="7">
        <v>2.5864460677739625</v>
      </c>
    </row>
    <row r="4" spans="1:4" x14ac:dyDescent="0.2">
      <c r="A4" s="2" t="s">
        <v>608</v>
      </c>
      <c r="B4" s="2" t="s">
        <v>350</v>
      </c>
      <c r="C4" s="2">
        <v>6</v>
      </c>
      <c r="D4" s="7">
        <v>2.5333793517548515</v>
      </c>
    </row>
    <row r="5" spans="1:4" x14ac:dyDescent="0.2">
      <c r="A5" s="2" t="s">
        <v>406</v>
      </c>
      <c r="B5" s="2" t="s">
        <v>350</v>
      </c>
      <c r="C5" s="2">
        <v>17</v>
      </c>
      <c r="D5" s="7">
        <v>2.4759265677317099</v>
      </c>
    </row>
    <row r="6" spans="1:4" x14ac:dyDescent="0.2">
      <c r="A6" s="2" t="s">
        <v>400</v>
      </c>
      <c r="B6" s="2" t="s">
        <v>350</v>
      </c>
      <c r="C6" s="2">
        <v>15</v>
      </c>
      <c r="D6" s="7">
        <v>2.3670068557195694</v>
      </c>
    </row>
    <row r="7" spans="1:4" x14ac:dyDescent="0.2">
      <c r="A7" s="2" t="s">
        <v>432</v>
      </c>
      <c r="B7" s="2" t="s">
        <v>350</v>
      </c>
      <c r="C7" s="2">
        <v>12</v>
      </c>
      <c r="D7" s="7">
        <v>2.2891160230007972</v>
      </c>
    </row>
    <row r="8" spans="1:4" x14ac:dyDescent="0.2">
      <c r="A8" s="2" t="s">
        <v>728</v>
      </c>
      <c r="B8" s="2" t="s">
        <v>350</v>
      </c>
      <c r="C8" s="2">
        <v>5</v>
      </c>
      <c r="D8" s="7">
        <v>2.1461422706639</v>
      </c>
    </row>
    <row r="9" spans="1:4" x14ac:dyDescent="0.2">
      <c r="A9" s="2" t="s">
        <v>644</v>
      </c>
      <c r="B9" s="2" t="s">
        <v>350</v>
      </c>
      <c r="C9" s="2">
        <v>42</v>
      </c>
      <c r="D9" s="7">
        <v>2.0807393589878953</v>
      </c>
    </row>
    <row r="10" spans="1:4" x14ac:dyDescent="0.2">
      <c r="A10" s="2" t="s">
        <v>446</v>
      </c>
      <c r="B10" s="2" t="s">
        <v>350</v>
      </c>
      <c r="C10" s="2">
        <v>12</v>
      </c>
      <c r="D10" s="7">
        <v>2.0156565475436543</v>
      </c>
    </row>
    <row r="11" spans="1:4" x14ac:dyDescent="0.2">
      <c r="A11" t="s">
        <v>670</v>
      </c>
      <c r="B11" t="s">
        <v>350</v>
      </c>
      <c r="C11">
        <v>10</v>
      </c>
      <c r="D11" s="8">
        <v>1.9528661277960757</v>
      </c>
    </row>
    <row r="12" spans="1:4" x14ac:dyDescent="0.2">
      <c r="A12" t="s">
        <v>660</v>
      </c>
      <c r="B12" t="s">
        <v>350</v>
      </c>
      <c r="C12">
        <v>14</v>
      </c>
      <c r="D12" s="8">
        <v>1.9271582797923814</v>
      </c>
    </row>
    <row r="13" spans="1:4" x14ac:dyDescent="0.2">
      <c r="A13" t="s">
        <v>454</v>
      </c>
      <c r="B13" t="s">
        <v>350</v>
      </c>
      <c r="C13">
        <v>6</v>
      </c>
      <c r="D13" s="8">
        <v>1.7900447050323467</v>
      </c>
    </row>
    <row r="14" spans="1:4" x14ac:dyDescent="0.2">
      <c r="A14" t="s">
        <v>424</v>
      </c>
      <c r="B14" t="s">
        <v>350</v>
      </c>
      <c r="C14">
        <v>21</v>
      </c>
      <c r="D14" s="8">
        <v>1.7487288468385782</v>
      </c>
    </row>
    <row r="15" spans="1:4" x14ac:dyDescent="0.2">
      <c r="A15" t="s">
        <v>634</v>
      </c>
      <c r="B15" t="s">
        <v>350</v>
      </c>
      <c r="C15">
        <v>8</v>
      </c>
      <c r="D15" s="8">
        <v>1.7461823564852796</v>
      </c>
    </row>
    <row r="16" spans="1:4" x14ac:dyDescent="0.2">
      <c r="A16" t="s">
        <v>456</v>
      </c>
      <c r="B16" t="s">
        <v>350</v>
      </c>
      <c r="C16">
        <v>6</v>
      </c>
      <c r="D16" s="8">
        <v>1.7388018522954014</v>
      </c>
    </row>
    <row r="17" spans="1:4" x14ac:dyDescent="0.2">
      <c r="A17" t="s">
        <v>402</v>
      </c>
      <c r="B17" t="s">
        <v>350</v>
      </c>
      <c r="C17">
        <v>14</v>
      </c>
      <c r="D17" s="8">
        <v>1.7052555358368333</v>
      </c>
    </row>
    <row r="18" spans="1:4" x14ac:dyDescent="0.2">
      <c r="A18" t="s">
        <v>440</v>
      </c>
      <c r="B18" t="s">
        <v>350</v>
      </c>
      <c r="C18">
        <v>11</v>
      </c>
      <c r="D18" s="8">
        <v>1.6892830295223185</v>
      </c>
    </row>
    <row r="19" spans="1:4" x14ac:dyDescent="0.2">
      <c r="A19" t="s">
        <v>784</v>
      </c>
      <c r="B19" t="s">
        <v>350</v>
      </c>
      <c r="C19">
        <v>4</v>
      </c>
      <c r="D19" s="8">
        <v>1.658987510435677</v>
      </c>
    </row>
    <row r="20" spans="1:4" x14ac:dyDescent="0.2">
      <c r="A20" t="s">
        <v>706</v>
      </c>
      <c r="B20" t="s">
        <v>350</v>
      </c>
      <c r="C20">
        <v>4</v>
      </c>
      <c r="D20" s="8">
        <v>1.658987510435677</v>
      </c>
    </row>
    <row r="21" spans="1:4" x14ac:dyDescent="0.2">
      <c r="A21" t="s">
        <v>604</v>
      </c>
      <c r="B21" t="s">
        <v>350</v>
      </c>
      <c r="C21">
        <v>31</v>
      </c>
      <c r="D21" s="8">
        <v>1.6216756915835895</v>
      </c>
    </row>
    <row r="22" spans="1:4" x14ac:dyDescent="0.2">
      <c r="A22" t="s">
        <v>786</v>
      </c>
      <c r="B22" t="s">
        <v>350</v>
      </c>
      <c r="C22">
        <v>13</v>
      </c>
      <c r="D22" s="8">
        <v>1.6151304617591111</v>
      </c>
    </row>
    <row r="23" spans="1:4" x14ac:dyDescent="0.2">
      <c r="A23" t="s">
        <v>448</v>
      </c>
      <c r="B23" t="s">
        <v>350</v>
      </c>
      <c r="C23">
        <v>11</v>
      </c>
      <c r="D23" s="8">
        <v>1.5905893473586268</v>
      </c>
    </row>
    <row r="24" spans="1:4" x14ac:dyDescent="0.2">
      <c r="A24" t="s">
        <v>788</v>
      </c>
      <c r="B24" t="s">
        <v>350</v>
      </c>
      <c r="C24">
        <v>21</v>
      </c>
      <c r="D24" s="8">
        <v>1.5828466190891939</v>
      </c>
    </row>
    <row r="25" spans="1:4" x14ac:dyDescent="0.2">
      <c r="A25" t="s">
        <v>710</v>
      </c>
      <c r="B25" t="s">
        <v>350</v>
      </c>
      <c r="C25">
        <v>63</v>
      </c>
      <c r="D25" s="8">
        <v>1.5624827185497383</v>
      </c>
    </row>
    <row r="26" spans="1:4" x14ac:dyDescent="0.2">
      <c r="A26" t="s">
        <v>790</v>
      </c>
      <c r="B26" t="s">
        <v>350</v>
      </c>
      <c r="C26">
        <v>6</v>
      </c>
      <c r="D26" s="8">
        <v>1.5525498643189903</v>
      </c>
    </row>
    <row r="27" spans="1:4" x14ac:dyDescent="0.2">
      <c r="A27" t="s">
        <v>650</v>
      </c>
      <c r="B27" t="s">
        <v>350</v>
      </c>
      <c r="C27">
        <v>16</v>
      </c>
      <c r="D27" s="8">
        <v>1.5282104791368494</v>
      </c>
    </row>
    <row r="28" spans="1:4" x14ac:dyDescent="0.2">
      <c r="A28" t="s">
        <v>716</v>
      </c>
      <c r="B28" t="s">
        <v>350</v>
      </c>
      <c r="C28">
        <v>4</v>
      </c>
      <c r="D28" s="8">
        <v>1.5003870694407033</v>
      </c>
    </row>
    <row r="29" spans="1:4" x14ac:dyDescent="0.2">
      <c r="A29" t="s">
        <v>792</v>
      </c>
      <c r="B29" t="s">
        <v>350</v>
      </c>
      <c r="C29">
        <v>5</v>
      </c>
      <c r="D29" s="8">
        <v>1.4721590626982191</v>
      </c>
    </row>
    <row r="30" spans="1:4" x14ac:dyDescent="0.2">
      <c r="A30" t="s">
        <v>794</v>
      </c>
      <c r="B30" t="s">
        <v>350</v>
      </c>
      <c r="C30">
        <v>16</v>
      </c>
      <c r="D30" s="8">
        <v>1.4619341015574274</v>
      </c>
    </row>
    <row r="31" spans="1:4" x14ac:dyDescent="0.2">
      <c r="A31" t="s">
        <v>698</v>
      </c>
      <c r="B31" t="s">
        <v>350</v>
      </c>
      <c r="C31">
        <v>9</v>
      </c>
      <c r="D31" s="8">
        <v>1.4599495550004975</v>
      </c>
    </row>
    <row r="32" spans="1:4" x14ac:dyDescent="0.2">
      <c r="A32" t="s">
        <v>638</v>
      </c>
      <c r="B32" t="s">
        <v>350</v>
      </c>
      <c r="C32">
        <v>17</v>
      </c>
      <c r="D32" s="8">
        <v>1.423692226547453</v>
      </c>
    </row>
    <row r="33" spans="1:4" x14ac:dyDescent="0.2">
      <c r="A33" t="s">
        <v>704</v>
      </c>
      <c r="B33" t="s">
        <v>350</v>
      </c>
      <c r="C33">
        <v>5</v>
      </c>
      <c r="D33" s="8">
        <v>1.4227009520893545</v>
      </c>
    </row>
    <row r="34" spans="1:4" x14ac:dyDescent="0.2">
      <c r="A34" t="s">
        <v>796</v>
      </c>
      <c r="B34" t="s">
        <v>350</v>
      </c>
      <c r="C34">
        <v>11</v>
      </c>
      <c r="D34" s="8">
        <v>1.4106745912609551</v>
      </c>
    </row>
    <row r="35" spans="1:4" x14ac:dyDescent="0.2">
      <c r="A35" t="s">
        <v>798</v>
      </c>
      <c r="B35" t="s">
        <v>350</v>
      </c>
      <c r="C35">
        <v>36</v>
      </c>
      <c r="D35" s="8">
        <v>1.4093958983450379</v>
      </c>
    </row>
    <row r="36" spans="1:4" x14ac:dyDescent="0.2">
      <c r="A36" t="s">
        <v>398</v>
      </c>
      <c r="B36" t="s">
        <v>350</v>
      </c>
      <c r="C36">
        <v>6</v>
      </c>
      <c r="D36" s="8">
        <v>1.3915804526310318</v>
      </c>
    </row>
    <row r="37" spans="1:4" x14ac:dyDescent="0.2">
      <c r="A37" t="s">
        <v>652</v>
      </c>
      <c r="B37" t="s">
        <v>350</v>
      </c>
      <c r="C37">
        <v>6</v>
      </c>
      <c r="D37" s="8">
        <v>1.3915804526310318</v>
      </c>
    </row>
    <row r="38" spans="1:4" x14ac:dyDescent="0.2">
      <c r="A38" t="s">
        <v>396</v>
      </c>
      <c r="B38" t="s">
        <v>350</v>
      </c>
      <c r="C38">
        <v>11</v>
      </c>
      <c r="D38" s="8">
        <v>1.3690258691652291</v>
      </c>
    </row>
    <row r="39" spans="1:4" x14ac:dyDescent="0.2">
      <c r="A39" t="s">
        <v>800</v>
      </c>
      <c r="B39" t="s">
        <v>350</v>
      </c>
      <c r="C39">
        <v>7</v>
      </c>
      <c r="D39" s="8">
        <v>1.3681366866074143</v>
      </c>
    </row>
    <row r="40" spans="1:4" x14ac:dyDescent="0.2">
      <c r="A40" t="s">
        <v>648</v>
      </c>
      <c r="B40" t="s">
        <v>350</v>
      </c>
      <c r="C40">
        <v>4</v>
      </c>
      <c r="D40" s="8">
        <v>1.3652247483135411</v>
      </c>
    </row>
    <row r="41" spans="1:4" x14ac:dyDescent="0.2">
      <c r="A41" t="s">
        <v>658</v>
      </c>
      <c r="B41" t="s">
        <v>350</v>
      </c>
      <c r="C41">
        <v>20</v>
      </c>
      <c r="D41" s="8">
        <v>1.352514034420875</v>
      </c>
    </row>
    <row r="42" spans="1:4" x14ac:dyDescent="0.2">
      <c r="A42" t="s">
        <v>802</v>
      </c>
      <c r="B42" t="s">
        <v>350</v>
      </c>
      <c r="C42">
        <v>8</v>
      </c>
      <c r="D42" s="8">
        <v>1.3424601169793888</v>
      </c>
    </row>
    <row r="43" spans="1:4" x14ac:dyDescent="0.2">
      <c r="A43" t="s">
        <v>642</v>
      </c>
      <c r="B43" t="s">
        <v>350</v>
      </c>
      <c r="C43">
        <v>20</v>
      </c>
      <c r="D43" s="8">
        <v>1.3378618598132164</v>
      </c>
    </row>
    <row r="44" spans="1:4" x14ac:dyDescent="0.2">
      <c r="A44" t="s">
        <v>804</v>
      </c>
      <c r="B44" t="s">
        <v>350</v>
      </c>
      <c r="C44">
        <v>7</v>
      </c>
      <c r="D44" s="8">
        <v>1.3374440983783811</v>
      </c>
    </row>
    <row r="45" spans="1:4" x14ac:dyDescent="0.2">
      <c r="A45" t="s">
        <v>636</v>
      </c>
      <c r="B45" t="s">
        <v>350</v>
      </c>
      <c r="C45">
        <v>3</v>
      </c>
      <c r="D45" s="8">
        <v>1.3369552088113243</v>
      </c>
    </row>
    <row r="46" spans="1:4" x14ac:dyDescent="0.2">
      <c r="A46" t="s">
        <v>708</v>
      </c>
      <c r="B46" t="s">
        <v>350</v>
      </c>
      <c r="C46">
        <v>11</v>
      </c>
      <c r="D46" s="8">
        <v>1.328613608391378</v>
      </c>
    </row>
    <row r="47" spans="1:4" x14ac:dyDescent="0.2">
      <c r="A47" t="s">
        <v>806</v>
      </c>
      <c r="B47" t="s">
        <v>350</v>
      </c>
      <c r="C47">
        <v>4</v>
      </c>
      <c r="D47" s="8">
        <v>1.3047055026791892</v>
      </c>
    </row>
    <row r="48" spans="1:4" x14ac:dyDescent="0.2">
      <c r="A48" s="2" t="s">
        <v>620</v>
      </c>
      <c r="B48" s="2" t="s">
        <v>394</v>
      </c>
      <c r="C48" s="2">
        <v>16</v>
      </c>
      <c r="D48" s="7">
        <v>2.5567633758853625</v>
      </c>
    </row>
    <row r="49" spans="1:4" x14ac:dyDescent="0.2">
      <c r="A49" s="2" t="s">
        <v>678</v>
      </c>
      <c r="B49" s="2" t="s">
        <v>394</v>
      </c>
      <c r="C49" s="2">
        <v>70</v>
      </c>
      <c r="D49" s="7">
        <v>2.4282798056158468</v>
      </c>
    </row>
    <row r="50" spans="1:4" x14ac:dyDescent="0.2">
      <c r="A50" s="2" t="s">
        <v>390</v>
      </c>
      <c r="B50" s="2" t="s">
        <v>394</v>
      </c>
      <c r="C50" s="2">
        <v>46</v>
      </c>
      <c r="D50" s="7">
        <v>2.2564498151408903</v>
      </c>
    </row>
    <row r="51" spans="1:4" x14ac:dyDescent="0.2">
      <c r="A51" s="2" t="s">
        <v>354</v>
      </c>
      <c r="B51" s="2" t="s">
        <v>394</v>
      </c>
      <c r="C51" s="2">
        <v>271</v>
      </c>
      <c r="D51" s="7">
        <v>2.1239221210141812</v>
      </c>
    </row>
    <row r="52" spans="1:4" x14ac:dyDescent="0.2">
      <c r="A52" s="2" t="s">
        <v>676</v>
      </c>
      <c r="B52" s="2" t="s">
        <v>394</v>
      </c>
      <c r="C52" s="2">
        <v>5</v>
      </c>
      <c r="D52" s="7">
        <v>2.0693597802830372</v>
      </c>
    </row>
    <row r="53" spans="1:4" x14ac:dyDescent="0.2">
      <c r="A53" t="s">
        <v>614</v>
      </c>
      <c r="B53" t="s">
        <v>394</v>
      </c>
      <c r="C53">
        <v>54</v>
      </c>
      <c r="D53" s="8">
        <v>1.9793874427907709</v>
      </c>
    </row>
    <row r="54" spans="1:4" x14ac:dyDescent="0.2">
      <c r="A54" t="s">
        <v>384</v>
      </c>
      <c r="B54" t="s">
        <v>394</v>
      </c>
      <c r="C54">
        <v>19</v>
      </c>
      <c r="D54" s="8">
        <v>1.9618572292778609</v>
      </c>
    </row>
    <row r="55" spans="1:4" x14ac:dyDescent="0.2">
      <c r="A55" t="s">
        <v>352</v>
      </c>
      <c r="B55" t="s">
        <v>394</v>
      </c>
      <c r="C55">
        <v>46</v>
      </c>
      <c r="D55" s="8">
        <v>1.9440391332629721</v>
      </c>
    </row>
    <row r="56" spans="1:4" x14ac:dyDescent="0.2">
      <c r="A56" t="s">
        <v>736</v>
      </c>
      <c r="B56" t="s">
        <v>394</v>
      </c>
      <c r="C56">
        <v>4</v>
      </c>
      <c r="D56" s="8">
        <v>1.8573114059175699</v>
      </c>
    </row>
    <row r="57" spans="1:4" x14ac:dyDescent="0.2">
      <c r="A57" t="s">
        <v>368</v>
      </c>
      <c r="B57" t="s">
        <v>394</v>
      </c>
      <c r="C57">
        <v>3</v>
      </c>
      <c r="D57" s="8">
        <v>1.7515680836223351</v>
      </c>
    </row>
    <row r="58" spans="1:4" x14ac:dyDescent="0.2">
      <c r="A58" t="s">
        <v>386</v>
      </c>
      <c r="B58" t="s">
        <v>394</v>
      </c>
      <c r="C58">
        <v>6</v>
      </c>
      <c r="D58" s="8">
        <v>1.6538659365161574</v>
      </c>
    </row>
    <row r="59" spans="1:4" x14ac:dyDescent="0.2">
      <c r="A59" t="s">
        <v>842</v>
      </c>
      <c r="B59" t="s">
        <v>394</v>
      </c>
      <c r="C59">
        <v>6</v>
      </c>
      <c r="D59" s="8">
        <v>1.6538659365161574</v>
      </c>
    </row>
    <row r="60" spans="1:4" x14ac:dyDescent="0.2">
      <c r="A60" t="s">
        <v>358</v>
      </c>
      <c r="B60" t="s">
        <v>394</v>
      </c>
      <c r="C60">
        <v>15</v>
      </c>
      <c r="D60" s="8">
        <v>1.512594780940965</v>
      </c>
    </row>
    <row r="61" spans="1:4" x14ac:dyDescent="0.2">
      <c r="A61" t="s">
        <v>370</v>
      </c>
      <c r="B61" t="s">
        <v>394</v>
      </c>
      <c r="C61">
        <v>8</v>
      </c>
      <c r="D61" s="8">
        <v>1.4977281888824878</v>
      </c>
    </row>
    <row r="62" spans="1:4" x14ac:dyDescent="0.2">
      <c r="A62" t="s">
        <v>740</v>
      </c>
      <c r="B62" t="s">
        <v>394</v>
      </c>
      <c r="C62">
        <v>19</v>
      </c>
      <c r="D62" s="8">
        <v>1.4381610423262958</v>
      </c>
    </row>
    <row r="63" spans="1:4" x14ac:dyDescent="0.2">
      <c r="A63" t="s">
        <v>380</v>
      </c>
      <c r="B63" t="s">
        <v>394</v>
      </c>
      <c r="C63">
        <v>14</v>
      </c>
      <c r="D63" s="8">
        <v>1.4214044157472565</v>
      </c>
    </row>
    <row r="64" spans="1:4" x14ac:dyDescent="0.2">
      <c r="A64" t="s">
        <v>674</v>
      </c>
      <c r="B64" t="s">
        <v>394</v>
      </c>
      <c r="C64">
        <v>13</v>
      </c>
      <c r="D64" s="8">
        <v>1.4185859829818928</v>
      </c>
    </row>
    <row r="65" spans="1:4" x14ac:dyDescent="0.2">
      <c r="A65" t="s">
        <v>680</v>
      </c>
      <c r="B65" t="s">
        <v>394</v>
      </c>
      <c r="C65">
        <v>7</v>
      </c>
      <c r="D65" s="8">
        <v>1.3805765872737266</v>
      </c>
    </row>
    <row r="66" spans="1:4" x14ac:dyDescent="0.2">
      <c r="A66" t="s">
        <v>844</v>
      </c>
      <c r="B66" t="s">
        <v>394</v>
      </c>
      <c r="C66">
        <v>4</v>
      </c>
      <c r="D66" s="8">
        <v>1.3729129409752641</v>
      </c>
    </row>
    <row r="67" spans="1:4" x14ac:dyDescent="0.2">
      <c r="A67" t="s">
        <v>356</v>
      </c>
      <c r="B67" t="s">
        <v>394</v>
      </c>
      <c r="C67">
        <v>19</v>
      </c>
      <c r="D67" s="8">
        <v>1.3423834032944146</v>
      </c>
    </row>
    <row r="68" spans="1:4" x14ac:dyDescent="0.2">
      <c r="A68" t="s">
        <v>846</v>
      </c>
      <c r="B68" t="s">
        <v>394</v>
      </c>
      <c r="C68">
        <v>22</v>
      </c>
      <c r="D68" s="8">
        <v>1.3392251495500673</v>
      </c>
    </row>
    <row r="69" spans="1:4" x14ac:dyDescent="0.2">
      <c r="A69" t="s">
        <v>360</v>
      </c>
      <c r="B69" t="s">
        <v>394</v>
      </c>
      <c r="C69">
        <v>205</v>
      </c>
      <c r="D69" s="8">
        <v>1.3138586033306279</v>
      </c>
    </row>
    <row r="70" spans="1:4" x14ac:dyDescent="0.2">
      <c r="A70" s="2" t="s">
        <v>325</v>
      </c>
      <c r="B70" s="2" t="s">
        <v>393</v>
      </c>
      <c r="C70" s="2">
        <v>57</v>
      </c>
      <c r="D70" s="7">
        <v>3.4869238913238458</v>
      </c>
    </row>
    <row r="71" spans="1:4" x14ac:dyDescent="0.2">
      <c r="A71" s="2" t="s">
        <v>309</v>
      </c>
      <c r="B71" s="2" t="s">
        <v>393</v>
      </c>
      <c r="C71" s="2">
        <v>113</v>
      </c>
      <c r="D71" s="7">
        <v>2.9576084464697452</v>
      </c>
    </row>
    <row r="72" spans="1:4" x14ac:dyDescent="0.2">
      <c r="A72" s="2" t="s">
        <v>317</v>
      </c>
      <c r="B72" s="2" t="s">
        <v>393</v>
      </c>
      <c r="C72" s="2">
        <v>21</v>
      </c>
      <c r="D72" s="7">
        <v>2.9036438143760401</v>
      </c>
    </row>
    <row r="73" spans="1:4" x14ac:dyDescent="0.2">
      <c r="A73" s="2" t="s">
        <v>632</v>
      </c>
      <c r="B73" s="2" t="s">
        <v>393</v>
      </c>
      <c r="C73" s="2">
        <v>23</v>
      </c>
      <c r="D73" s="7">
        <v>2.7154563298151908</v>
      </c>
    </row>
    <row r="74" spans="1:4" x14ac:dyDescent="0.2">
      <c r="A74" s="2" t="s">
        <v>313</v>
      </c>
      <c r="B74" s="2" t="s">
        <v>393</v>
      </c>
      <c r="C74" s="2">
        <v>90</v>
      </c>
      <c r="D74" s="7">
        <v>2.6078443435972045</v>
      </c>
    </row>
    <row r="75" spans="1:4" x14ac:dyDescent="0.2">
      <c r="A75" s="2" t="s">
        <v>626</v>
      </c>
      <c r="B75" s="2" t="s">
        <v>393</v>
      </c>
      <c r="C75" s="2">
        <v>6</v>
      </c>
      <c r="D75" s="7">
        <v>2.3935603138750472</v>
      </c>
    </row>
    <row r="76" spans="1:4" x14ac:dyDescent="0.2">
      <c r="A76" s="2" t="s">
        <v>321</v>
      </c>
      <c r="B76" s="2" t="s">
        <v>393</v>
      </c>
      <c r="C76" s="2">
        <v>8</v>
      </c>
      <c r="D76" s="7">
        <v>2.1909897990056932</v>
      </c>
    </row>
    <row r="77" spans="1:4" x14ac:dyDescent="0.2">
      <c r="A77" s="2" t="s">
        <v>323</v>
      </c>
      <c r="B77" s="2" t="s">
        <v>393</v>
      </c>
      <c r="C77" s="2">
        <v>11</v>
      </c>
      <c r="D77" s="7">
        <v>2.1640577813676201</v>
      </c>
    </row>
    <row r="78" spans="1:4" x14ac:dyDescent="0.2">
      <c r="A78" s="2" t="s">
        <v>339</v>
      </c>
      <c r="B78" s="2" t="s">
        <v>393</v>
      </c>
      <c r="C78" s="2">
        <v>60</v>
      </c>
      <c r="D78" s="7">
        <v>2.0566481058323012</v>
      </c>
    </row>
    <row r="79" spans="1:4" x14ac:dyDescent="0.2">
      <c r="A79" t="s">
        <v>746</v>
      </c>
      <c r="B79" t="s">
        <v>393</v>
      </c>
      <c r="C79">
        <v>4</v>
      </c>
      <c r="D79" s="8">
        <v>1.9767139096791757</v>
      </c>
    </row>
    <row r="80" spans="1:4" x14ac:dyDescent="0.2">
      <c r="A80" t="s">
        <v>858</v>
      </c>
      <c r="B80" t="s">
        <v>393</v>
      </c>
      <c r="C80">
        <v>23</v>
      </c>
      <c r="D80" s="8">
        <v>1.9713369449141556</v>
      </c>
    </row>
    <row r="81" spans="1:4" x14ac:dyDescent="0.2">
      <c r="A81" t="s">
        <v>347</v>
      </c>
      <c r="B81" t="s">
        <v>393</v>
      </c>
      <c r="C81">
        <v>196</v>
      </c>
      <c r="D81" s="8">
        <v>1.899371283375229</v>
      </c>
    </row>
    <row r="82" spans="1:4" x14ac:dyDescent="0.2">
      <c r="A82" t="s">
        <v>860</v>
      </c>
      <c r="B82" t="s">
        <v>393</v>
      </c>
      <c r="C82">
        <v>10</v>
      </c>
      <c r="D82" s="8">
        <v>1.7751845120206098</v>
      </c>
    </row>
    <row r="83" spans="1:4" x14ac:dyDescent="0.2">
      <c r="A83" t="s">
        <v>301</v>
      </c>
      <c r="B83" t="s">
        <v>393</v>
      </c>
      <c r="C83">
        <v>104</v>
      </c>
      <c r="D83" s="8">
        <v>1.7687809947614799</v>
      </c>
    </row>
    <row r="84" spans="1:4" x14ac:dyDescent="0.2">
      <c r="A84" t="s">
        <v>688</v>
      </c>
      <c r="B84" t="s">
        <v>393</v>
      </c>
      <c r="C84">
        <v>112</v>
      </c>
      <c r="D84" s="8">
        <v>1.7233780319123084</v>
      </c>
    </row>
    <row r="85" spans="1:4" x14ac:dyDescent="0.2">
      <c r="A85" t="s">
        <v>862</v>
      </c>
      <c r="B85" t="s">
        <v>393</v>
      </c>
      <c r="C85">
        <v>10</v>
      </c>
      <c r="D85" s="8">
        <v>1.7183706533021401</v>
      </c>
    </row>
    <row r="86" spans="1:4" x14ac:dyDescent="0.2">
      <c r="A86" t="s">
        <v>864</v>
      </c>
      <c r="B86" t="s">
        <v>393</v>
      </c>
      <c r="C86">
        <v>22</v>
      </c>
      <c r="D86" s="8">
        <v>1.701479439788244</v>
      </c>
    </row>
    <row r="87" spans="1:4" x14ac:dyDescent="0.2">
      <c r="A87" t="s">
        <v>345</v>
      </c>
      <c r="B87" t="s">
        <v>393</v>
      </c>
      <c r="C87">
        <v>6</v>
      </c>
      <c r="D87" s="8">
        <v>1.6203237300468563</v>
      </c>
    </row>
    <row r="88" spans="1:4" x14ac:dyDescent="0.2">
      <c r="A88" t="s">
        <v>335</v>
      </c>
      <c r="B88" t="s">
        <v>393</v>
      </c>
      <c r="C88">
        <v>26</v>
      </c>
      <c r="D88" s="8">
        <v>1.5623542612437584</v>
      </c>
    </row>
    <row r="89" spans="1:4" x14ac:dyDescent="0.2">
      <c r="A89" t="s">
        <v>311</v>
      </c>
      <c r="B89" t="s">
        <v>393</v>
      </c>
      <c r="C89">
        <v>4</v>
      </c>
      <c r="D89" s="8">
        <v>1.5164782638865992</v>
      </c>
    </row>
    <row r="90" spans="1:4" x14ac:dyDescent="0.2">
      <c r="A90" t="s">
        <v>742</v>
      </c>
      <c r="B90" t="s">
        <v>393</v>
      </c>
      <c r="C90">
        <v>91</v>
      </c>
      <c r="D90" s="8">
        <v>1.4942917083499474</v>
      </c>
    </row>
    <row r="91" spans="1:4" x14ac:dyDescent="0.2">
      <c r="A91" t="s">
        <v>750</v>
      </c>
      <c r="B91" t="s">
        <v>393</v>
      </c>
      <c r="C91">
        <v>14</v>
      </c>
      <c r="D91" s="8">
        <v>1.478640887810875</v>
      </c>
    </row>
    <row r="92" spans="1:4" x14ac:dyDescent="0.2">
      <c r="A92" t="s">
        <v>748</v>
      </c>
      <c r="B92" t="s">
        <v>393</v>
      </c>
      <c r="C92">
        <v>9</v>
      </c>
      <c r="D92" s="8">
        <v>1.4145873369747919</v>
      </c>
    </row>
    <row r="93" spans="1:4" x14ac:dyDescent="0.2">
      <c r="A93" t="s">
        <v>694</v>
      </c>
      <c r="B93" t="s">
        <v>393</v>
      </c>
      <c r="C93">
        <v>6</v>
      </c>
      <c r="D93" s="8">
        <v>1.3413147015923341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E99E-D552-1145-A8DA-D4F223F383DC}">
  <dimension ref="A1:D24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420</v>
      </c>
      <c r="B2" s="2" t="s">
        <v>350</v>
      </c>
      <c r="C2" s="2">
        <v>30</v>
      </c>
      <c r="D2" s="7">
        <v>2.6596077123574791</v>
      </c>
    </row>
    <row r="3" spans="1:4" x14ac:dyDescent="0.2">
      <c r="A3" s="2" t="s">
        <v>412</v>
      </c>
      <c r="B3" s="2" t="s">
        <v>350</v>
      </c>
      <c r="C3" s="2">
        <v>35</v>
      </c>
      <c r="D3" s="7">
        <v>2.5864460677739625</v>
      </c>
    </row>
    <row r="4" spans="1:4" x14ac:dyDescent="0.2">
      <c r="A4" s="2" t="s">
        <v>608</v>
      </c>
      <c r="B4" s="2" t="s">
        <v>350</v>
      </c>
      <c r="C4" s="2">
        <v>6</v>
      </c>
      <c r="D4" s="7">
        <v>2.5333793517548515</v>
      </c>
    </row>
    <row r="5" spans="1:4" x14ac:dyDescent="0.2">
      <c r="A5" s="2" t="s">
        <v>406</v>
      </c>
      <c r="B5" s="2" t="s">
        <v>350</v>
      </c>
      <c r="C5" s="2">
        <v>17</v>
      </c>
      <c r="D5" s="7">
        <v>2.4759265677317099</v>
      </c>
    </row>
    <row r="6" spans="1:4" x14ac:dyDescent="0.2">
      <c r="A6" s="2" t="s">
        <v>400</v>
      </c>
      <c r="B6" s="2" t="s">
        <v>350</v>
      </c>
      <c r="C6" s="2">
        <v>15</v>
      </c>
      <c r="D6" s="7">
        <v>2.3670068557195694</v>
      </c>
    </row>
    <row r="7" spans="1:4" x14ac:dyDescent="0.2">
      <c r="A7" s="2" t="s">
        <v>432</v>
      </c>
      <c r="B7" s="2" t="s">
        <v>350</v>
      </c>
      <c r="C7" s="2">
        <v>12</v>
      </c>
      <c r="D7" s="7">
        <v>2.2891160230007972</v>
      </c>
    </row>
    <row r="8" spans="1:4" x14ac:dyDescent="0.2">
      <c r="A8" s="2" t="s">
        <v>728</v>
      </c>
      <c r="B8" s="2" t="s">
        <v>350</v>
      </c>
      <c r="C8" s="2">
        <v>5</v>
      </c>
      <c r="D8" s="7">
        <v>2.1461422706639</v>
      </c>
    </row>
    <row r="9" spans="1:4" x14ac:dyDescent="0.2">
      <c r="A9" s="2" t="s">
        <v>644</v>
      </c>
      <c r="B9" s="2" t="s">
        <v>350</v>
      </c>
      <c r="C9" s="2">
        <v>42</v>
      </c>
      <c r="D9" s="7">
        <v>2.0807393589878953</v>
      </c>
    </row>
    <row r="10" spans="1:4" x14ac:dyDescent="0.2">
      <c r="A10" s="2" t="s">
        <v>446</v>
      </c>
      <c r="B10" s="2" t="s">
        <v>350</v>
      </c>
      <c r="C10" s="2">
        <v>12</v>
      </c>
      <c r="D10" s="7">
        <v>2.0156565475436543</v>
      </c>
    </row>
    <row r="11" spans="1:4" x14ac:dyDescent="0.2">
      <c r="A11" s="2" t="s">
        <v>620</v>
      </c>
      <c r="B11" s="2" t="s">
        <v>394</v>
      </c>
      <c r="C11" s="2">
        <v>16</v>
      </c>
      <c r="D11" s="7">
        <v>2.5567633758853625</v>
      </c>
    </row>
    <row r="12" spans="1:4" x14ac:dyDescent="0.2">
      <c r="A12" s="2" t="s">
        <v>678</v>
      </c>
      <c r="B12" s="2" t="s">
        <v>394</v>
      </c>
      <c r="C12" s="2">
        <v>70</v>
      </c>
      <c r="D12" s="7">
        <v>2.4282798056158468</v>
      </c>
    </row>
    <row r="13" spans="1:4" x14ac:dyDescent="0.2">
      <c r="A13" s="2" t="s">
        <v>390</v>
      </c>
      <c r="B13" s="2" t="s">
        <v>394</v>
      </c>
      <c r="C13" s="2">
        <v>46</v>
      </c>
      <c r="D13" s="7">
        <v>2.2564498151408903</v>
      </c>
    </row>
    <row r="14" spans="1:4" x14ac:dyDescent="0.2">
      <c r="A14" s="2" t="s">
        <v>354</v>
      </c>
      <c r="B14" s="2" t="s">
        <v>394</v>
      </c>
      <c r="C14" s="2">
        <v>271</v>
      </c>
      <c r="D14" s="7">
        <v>2.1239221210141812</v>
      </c>
    </row>
    <row r="15" spans="1:4" x14ac:dyDescent="0.2">
      <c r="A15" s="2" t="s">
        <v>676</v>
      </c>
      <c r="B15" s="2" t="s">
        <v>394</v>
      </c>
      <c r="C15" s="2">
        <v>5</v>
      </c>
      <c r="D15" s="7">
        <v>2.0693597802830372</v>
      </c>
    </row>
    <row r="16" spans="1:4" x14ac:dyDescent="0.2">
      <c r="A16" s="2" t="s">
        <v>325</v>
      </c>
      <c r="B16" s="2" t="s">
        <v>393</v>
      </c>
      <c r="C16" s="2">
        <v>57</v>
      </c>
      <c r="D16" s="7">
        <v>3.4869238913238458</v>
      </c>
    </row>
    <row r="17" spans="1:4" x14ac:dyDescent="0.2">
      <c r="A17" s="2" t="s">
        <v>309</v>
      </c>
      <c r="B17" s="2" t="s">
        <v>393</v>
      </c>
      <c r="C17" s="2">
        <v>113</v>
      </c>
      <c r="D17" s="7">
        <v>2.9576084464697452</v>
      </c>
    </row>
    <row r="18" spans="1:4" x14ac:dyDescent="0.2">
      <c r="A18" s="2" t="s">
        <v>317</v>
      </c>
      <c r="B18" s="2" t="s">
        <v>393</v>
      </c>
      <c r="C18" s="2">
        <v>21</v>
      </c>
      <c r="D18" s="7">
        <v>2.9036438143760401</v>
      </c>
    </row>
    <row r="19" spans="1:4" x14ac:dyDescent="0.2">
      <c r="A19" s="2" t="s">
        <v>632</v>
      </c>
      <c r="B19" s="2" t="s">
        <v>393</v>
      </c>
      <c r="C19" s="2">
        <v>23</v>
      </c>
      <c r="D19" s="7">
        <v>2.7154563298151908</v>
      </c>
    </row>
    <row r="20" spans="1:4" x14ac:dyDescent="0.2">
      <c r="A20" s="2" t="s">
        <v>313</v>
      </c>
      <c r="B20" s="2" t="s">
        <v>393</v>
      </c>
      <c r="C20" s="2">
        <v>90</v>
      </c>
      <c r="D20" s="7">
        <v>2.6078443435972045</v>
      </c>
    </row>
    <row r="21" spans="1:4" x14ac:dyDescent="0.2">
      <c r="A21" s="2" t="s">
        <v>626</v>
      </c>
      <c r="B21" s="2" t="s">
        <v>393</v>
      </c>
      <c r="C21" s="2">
        <v>6</v>
      </c>
      <c r="D21" s="7">
        <v>2.3935603138750472</v>
      </c>
    </row>
    <row r="22" spans="1:4" x14ac:dyDescent="0.2">
      <c r="A22" s="2" t="s">
        <v>321</v>
      </c>
      <c r="B22" s="2" t="s">
        <v>393</v>
      </c>
      <c r="C22" s="2">
        <v>8</v>
      </c>
      <c r="D22" s="7">
        <v>2.1909897990056932</v>
      </c>
    </row>
    <row r="23" spans="1:4" x14ac:dyDescent="0.2">
      <c r="A23" s="2" t="s">
        <v>323</v>
      </c>
      <c r="B23" s="2" t="s">
        <v>393</v>
      </c>
      <c r="C23" s="2">
        <v>11</v>
      </c>
      <c r="D23" s="7">
        <v>2.1640577813676201</v>
      </c>
    </row>
    <row r="24" spans="1:4" x14ac:dyDescent="0.2">
      <c r="A24" s="2" t="s">
        <v>339</v>
      </c>
      <c r="B24" s="2" t="s">
        <v>393</v>
      </c>
      <c r="C24" s="2">
        <v>60</v>
      </c>
      <c r="D24" s="7">
        <v>2.0566481058323012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65F2-F866-F147-8AF9-9378A5AD3E4F}">
  <dimension ref="A1:D78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420</v>
      </c>
      <c r="B2" s="2" t="s">
        <v>350</v>
      </c>
      <c r="C2" s="2">
        <v>23</v>
      </c>
      <c r="D2" s="7">
        <v>2.9716310492481548</v>
      </c>
    </row>
    <row r="3" spans="1:4" x14ac:dyDescent="0.2">
      <c r="A3" s="2" t="s">
        <v>406</v>
      </c>
      <c r="B3" s="2" t="s">
        <v>350</v>
      </c>
      <c r="C3" s="2">
        <v>14</v>
      </c>
      <c r="D3" s="7">
        <v>2.9414796890057677</v>
      </c>
    </row>
    <row r="4" spans="1:4" x14ac:dyDescent="0.2">
      <c r="A4" s="2" t="s">
        <v>432</v>
      </c>
      <c r="B4" s="2" t="s">
        <v>350</v>
      </c>
      <c r="C4" s="2">
        <v>10</v>
      </c>
      <c r="D4" s="7">
        <v>2.6057604028029693</v>
      </c>
    </row>
    <row r="5" spans="1:4" x14ac:dyDescent="0.2">
      <c r="A5" s="2" t="s">
        <v>412</v>
      </c>
      <c r="B5" s="2" t="s">
        <v>350</v>
      </c>
      <c r="C5" s="2">
        <v>25</v>
      </c>
      <c r="D5" s="7">
        <v>2.4224432760036199</v>
      </c>
    </row>
    <row r="6" spans="1:4" x14ac:dyDescent="0.2">
      <c r="A6" s="2" t="s">
        <v>446</v>
      </c>
      <c r="B6" s="2" t="s">
        <v>350</v>
      </c>
      <c r="C6" s="2">
        <v>10</v>
      </c>
      <c r="D6" s="7">
        <v>2.356689132891284</v>
      </c>
    </row>
    <row r="7" spans="1:4" x14ac:dyDescent="0.2">
      <c r="A7" s="2" t="s">
        <v>398</v>
      </c>
      <c r="B7" s="2" t="s">
        <v>350</v>
      </c>
      <c r="C7" s="2">
        <v>6</v>
      </c>
      <c r="D7" s="7">
        <v>2.1273007726154862</v>
      </c>
    </row>
    <row r="8" spans="1:4" x14ac:dyDescent="0.2">
      <c r="A8" s="2" t="s">
        <v>400</v>
      </c>
      <c r="B8" s="2" t="s">
        <v>350</v>
      </c>
      <c r="C8" s="2">
        <v>11</v>
      </c>
      <c r="D8" s="7">
        <v>2.1028360128851702</v>
      </c>
    </row>
    <row r="9" spans="1:4" x14ac:dyDescent="0.2">
      <c r="A9" s="2" t="s">
        <v>634</v>
      </c>
      <c r="B9" s="2" t="s">
        <v>350</v>
      </c>
      <c r="C9" s="2">
        <v>7</v>
      </c>
      <c r="D9" s="7">
        <v>2.1017298861051823</v>
      </c>
    </row>
    <row r="10" spans="1:4" x14ac:dyDescent="0.2">
      <c r="A10" s="2" t="s">
        <v>670</v>
      </c>
      <c r="B10" s="2" t="s">
        <v>350</v>
      </c>
      <c r="C10" s="2">
        <v>8</v>
      </c>
      <c r="D10" s="7">
        <v>2.0107499090084029</v>
      </c>
    </row>
    <row r="11" spans="1:4" x14ac:dyDescent="0.2">
      <c r="A11" t="s">
        <v>698</v>
      </c>
      <c r="B11" t="s">
        <v>350</v>
      </c>
      <c r="C11">
        <v>8</v>
      </c>
      <c r="D11" s="8">
        <v>1.9567123177841748</v>
      </c>
    </row>
    <row r="12" spans="1:4" x14ac:dyDescent="0.2">
      <c r="A12" t="s">
        <v>440</v>
      </c>
      <c r="B12" t="s">
        <v>350</v>
      </c>
      <c r="C12">
        <v>9</v>
      </c>
      <c r="D12" s="8">
        <v>1.9247482711360484</v>
      </c>
    </row>
    <row r="13" spans="1:4" x14ac:dyDescent="0.2">
      <c r="A13" t="s">
        <v>402</v>
      </c>
      <c r="B13" t="s">
        <v>350</v>
      </c>
      <c r="C13">
        <v>11</v>
      </c>
      <c r="D13" s="8">
        <v>1.8700563662611678</v>
      </c>
    </row>
    <row r="14" spans="1:4" x14ac:dyDescent="0.2">
      <c r="A14" t="s">
        <v>604</v>
      </c>
      <c r="B14" t="s">
        <v>350</v>
      </c>
      <c r="C14">
        <v>23</v>
      </c>
      <c r="D14" s="8">
        <v>1.8497865946961538</v>
      </c>
    </row>
    <row r="15" spans="1:4" x14ac:dyDescent="0.2">
      <c r="A15" t="s">
        <v>456</v>
      </c>
      <c r="B15" t="s">
        <v>350</v>
      </c>
      <c r="C15">
        <v>5</v>
      </c>
      <c r="D15" s="8">
        <v>1.7614299475396891</v>
      </c>
    </row>
    <row r="16" spans="1:4" x14ac:dyDescent="0.2">
      <c r="A16" t="s">
        <v>636</v>
      </c>
      <c r="B16" t="s">
        <v>350</v>
      </c>
      <c r="C16">
        <v>3</v>
      </c>
      <c r="D16" s="8">
        <v>1.6886584312375899</v>
      </c>
    </row>
    <row r="17" spans="1:4" x14ac:dyDescent="0.2">
      <c r="A17" t="s">
        <v>396</v>
      </c>
      <c r="B17" t="s">
        <v>350</v>
      </c>
      <c r="C17">
        <v>9</v>
      </c>
      <c r="D17" s="8">
        <v>1.6326546497277552</v>
      </c>
    </row>
    <row r="18" spans="1:4" x14ac:dyDescent="0.2">
      <c r="A18" t="s">
        <v>644</v>
      </c>
      <c r="B18" t="s">
        <v>350</v>
      </c>
      <c r="C18">
        <v>28</v>
      </c>
      <c r="D18" s="8">
        <v>1.6285936462192399</v>
      </c>
    </row>
    <row r="19" spans="1:4" x14ac:dyDescent="0.2">
      <c r="A19" t="s">
        <v>646</v>
      </c>
      <c r="B19" t="s">
        <v>350</v>
      </c>
      <c r="C19">
        <v>5</v>
      </c>
      <c r="D19" s="8">
        <v>1.5678920774748684</v>
      </c>
    </row>
    <row r="20" spans="1:4" x14ac:dyDescent="0.2">
      <c r="A20" t="s">
        <v>608</v>
      </c>
      <c r="B20" t="s">
        <v>350</v>
      </c>
      <c r="C20">
        <v>4</v>
      </c>
      <c r="D20" s="8">
        <v>1.5670292458770221</v>
      </c>
    </row>
    <row r="21" spans="1:4" x14ac:dyDescent="0.2">
      <c r="A21" t="s">
        <v>642</v>
      </c>
      <c r="B21" t="s">
        <v>350</v>
      </c>
      <c r="C21">
        <v>15</v>
      </c>
      <c r="D21" s="8">
        <v>1.4836294003093</v>
      </c>
    </row>
    <row r="22" spans="1:4" x14ac:dyDescent="0.2">
      <c r="A22" t="s">
        <v>700</v>
      </c>
      <c r="B22" t="s">
        <v>350</v>
      </c>
      <c r="C22">
        <v>4</v>
      </c>
      <c r="D22" s="8">
        <v>1.4275628642070011</v>
      </c>
    </row>
    <row r="23" spans="1:4" x14ac:dyDescent="0.2">
      <c r="A23" t="s">
        <v>448</v>
      </c>
      <c r="B23" t="s">
        <v>350</v>
      </c>
      <c r="C23">
        <v>8</v>
      </c>
      <c r="D23" s="8">
        <v>1.390816686354087</v>
      </c>
    </row>
    <row r="24" spans="1:4" x14ac:dyDescent="0.2">
      <c r="A24" t="s">
        <v>410</v>
      </c>
      <c r="B24" t="s">
        <v>350</v>
      </c>
      <c r="C24">
        <v>5</v>
      </c>
      <c r="D24" s="8">
        <v>1.3737702991206568</v>
      </c>
    </row>
    <row r="25" spans="1:4" x14ac:dyDescent="0.2">
      <c r="A25" t="s">
        <v>428</v>
      </c>
      <c r="B25" t="s">
        <v>350</v>
      </c>
      <c r="C25">
        <v>11</v>
      </c>
      <c r="D25" s="8">
        <v>1.360114727135936</v>
      </c>
    </row>
    <row r="26" spans="1:4" x14ac:dyDescent="0.2">
      <c r="A26" t="s">
        <v>640</v>
      </c>
      <c r="B26" t="s">
        <v>350</v>
      </c>
      <c r="C26">
        <v>3</v>
      </c>
      <c r="D26" s="8">
        <v>1.3490719203362787</v>
      </c>
    </row>
    <row r="27" spans="1:4" x14ac:dyDescent="0.2">
      <c r="A27" t="s">
        <v>702</v>
      </c>
      <c r="B27" t="s">
        <v>350</v>
      </c>
      <c r="C27">
        <v>3</v>
      </c>
      <c r="D27" s="8">
        <v>1.3490719203362787</v>
      </c>
    </row>
    <row r="28" spans="1:4" x14ac:dyDescent="0.2">
      <c r="A28" t="s">
        <v>424</v>
      </c>
      <c r="B28" t="s">
        <v>350</v>
      </c>
      <c r="C28">
        <v>14</v>
      </c>
      <c r="D28" s="8">
        <v>1.3128643195400205</v>
      </c>
    </row>
    <row r="29" spans="1:4" x14ac:dyDescent="0.2">
      <c r="A29" t="s">
        <v>704</v>
      </c>
      <c r="B29" t="s">
        <v>350</v>
      </c>
      <c r="C29">
        <v>4</v>
      </c>
      <c r="D29" s="8">
        <v>1.3069210422104924</v>
      </c>
    </row>
    <row r="30" spans="1:4" x14ac:dyDescent="0.2">
      <c r="A30" s="2" t="s">
        <v>380</v>
      </c>
      <c r="B30" s="2" t="s">
        <v>394</v>
      </c>
      <c r="C30" s="2">
        <v>13</v>
      </c>
      <c r="D30" s="7">
        <v>2.5116925982222478</v>
      </c>
    </row>
    <row r="31" spans="1:4" x14ac:dyDescent="0.2">
      <c r="A31" s="2" t="s">
        <v>674</v>
      </c>
      <c r="B31" s="2" t="s">
        <v>394</v>
      </c>
      <c r="C31" s="2">
        <v>12</v>
      </c>
      <c r="D31" s="7">
        <v>2.4066755262110364</v>
      </c>
    </row>
    <row r="32" spans="1:4" x14ac:dyDescent="0.2">
      <c r="A32" t="s">
        <v>354</v>
      </c>
      <c r="B32" t="s">
        <v>394</v>
      </c>
      <c r="C32">
        <v>177</v>
      </c>
      <c r="D32" s="8">
        <v>1.9916500692908794</v>
      </c>
    </row>
    <row r="33" spans="1:4" x14ac:dyDescent="0.2">
      <c r="A33" t="s">
        <v>390</v>
      </c>
      <c r="B33" t="s">
        <v>394</v>
      </c>
      <c r="C33">
        <v>31</v>
      </c>
      <c r="D33" s="8">
        <v>1.9219476018796307</v>
      </c>
    </row>
    <row r="34" spans="1:4" x14ac:dyDescent="0.2">
      <c r="A34" t="s">
        <v>352</v>
      </c>
      <c r="B34" t="s">
        <v>394</v>
      </c>
      <c r="C34">
        <v>32</v>
      </c>
      <c r="D34" s="8">
        <v>1.9180182052114112</v>
      </c>
    </row>
    <row r="35" spans="1:4" x14ac:dyDescent="0.2">
      <c r="A35" t="s">
        <v>370</v>
      </c>
      <c r="B35" t="s">
        <v>394</v>
      </c>
      <c r="C35">
        <v>7</v>
      </c>
      <c r="D35" s="8">
        <v>1.8978365181927477</v>
      </c>
    </row>
    <row r="36" spans="1:4" x14ac:dyDescent="0.2">
      <c r="A36" t="s">
        <v>358</v>
      </c>
      <c r="B36" t="s">
        <v>394</v>
      </c>
      <c r="C36">
        <v>12</v>
      </c>
      <c r="D36" s="8">
        <v>1.8628160294035534</v>
      </c>
    </row>
    <row r="37" spans="1:4" x14ac:dyDescent="0.2">
      <c r="A37" t="s">
        <v>676</v>
      </c>
      <c r="B37" t="s">
        <v>394</v>
      </c>
      <c r="C37">
        <v>4</v>
      </c>
      <c r="D37" s="8">
        <v>1.8204884918058299</v>
      </c>
    </row>
    <row r="38" spans="1:4" x14ac:dyDescent="0.2">
      <c r="A38" t="s">
        <v>356</v>
      </c>
      <c r="B38" t="s">
        <v>394</v>
      </c>
      <c r="C38">
        <v>15</v>
      </c>
      <c r="D38" s="8">
        <v>1.7505458214233529</v>
      </c>
    </row>
    <row r="39" spans="1:4" x14ac:dyDescent="0.2">
      <c r="A39" t="s">
        <v>386</v>
      </c>
      <c r="B39" t="s">
        <v>394</v>
      </c>
      <c r="C39">
        <v>5</v>
      </c>
      <c r="D39" s="8">
        <v>1.7144852655448188</v>
      </c>
    </row>
    <row r="40" spans="1:4" x14ac:dyDescent="0.2">
      <c r="A40" t="s">
        <v>388</v>
      </c>
      <c r="B40" t="s">
        <v>394</v>
      </c>
      <c r="C40">
        <v>7</v>
      </c>
      <c r="D40" s="8">
        <v>1.657343608787851</v>
      </c>
    </row>
    <row r="41" spans="1:4" x14ac:dyDescent="0.2">
      <c r="A41" t="s">
        <v>384</v>
      </c>
      <c r="B41" t="s">
        <v>394</v>
      </c>
      <c r="C41">
        <v>13</v>
      </c>
      <c r="D41" s="8">
        <v>1.5979298674328983</v>
      </c>
    </row>
    <row r="42" spans="1:4" x14ac:dyDescent="0.2">
      <c r="A42" t="s">
        <v>620</v>
      </c>
      <c r="B42" t="s">
        <v>394</v>
      </c>
      <c r="C42">
        <v>10</v>
      </c>
      <c r="D42" s="8">
        <v>1.5780423367001497</v>
      </c>
    </row>
    <row r="43" spans="1:4" x14ac:dyDescent="0.2">
      <c r="A43" t="s">
        <v>730</v>
      </c>
      <c r="B43" t="s">
        <v>394</v>
      </c>
      <c r="C43">
        <v>179</v>
      </c>
      <c r="D43" s="8">
        <v>1.5207102876178245</v>
      </c>
    </row>
    <row r="44" spans="1:4" x14ac:dyDescent="0.2">
      <c r="A44" t="s">
        <v>614</v>
      </c>
      <c r="B44" t="s">
        <v>394</v>
      </c>
      <c r="C44">
        <v>35</v>
      </c>
      <c r="D44" s="8">
        <v>1.50737735261485</v>
      </c>
    </row>
    <row r="45" spans="1:4" x14ac:dyDescent="0.2">
      <c r="A45" t="s">
        <v>612</v>
      </c>
      <c r="B45" t="s">
        <v>394</v>
      </c>
      <c r="C45">
        <v>13</v>
      </c>
      <c r="D45" s="8">
        <v>1.4723235384836895</v>
      </c>
    </row>
    <row r="46" spans="1:4" x14ac:dyDescent="0.2">
      <c r="A46" t="s">
        <v>732</v>
      </c>
      <c r="B46" t="s">
        <v>394</v>
      </c>
      <c r="C46">
        <v>3</v>
      </c>
      <c r="D46" s="8">
        <v>1.4394574390680217</v>
      </c>
    </row>
    <row r="47" spans="1:4" x14ac:dyDescent="0.2">
      <c r="A47" t="s">
        <v>734</v>
      </c>
      <c r="B47" t="s">
        <v>394</v>
      </c>
      <c r="C47">
        <v>3</v>
      </c>
      <c r="D47" s="8">
        <v>1.4394574390680217</v>
      </c>
    </row>
    <row r="48" spans="1:4" x14ac:dyDescent="0.2">
      <c r="A48" t="s">
        <v>678</v>
      </c>
      <c r="B48" t="s">
        <v>394</v>
      </c>
      <c r="C48">
        <v>43</v>
      </c>
      <c r="D48" s="8">
        <v>1.4173172590996512</v>
      </c>
    </row>
    <row r="49" spans="1:4" x14ac:dyDescent="0.2">
      <c r="A49" t="s">
        <v>736</v>
      </c>
      <c r="B49" t="s">
        <v>394</v>
      </c>
      <c r="C49">
        <v>3</v>
      </c>
      <c r="D49" s="8">
        <v>1.3682512999424397</v>
      </c>
    </row>
    <row r="50" spans="1:4" x14ac:dyDescent="0.2">
      <c r="A50" s="2" t="s">
        <v>313</v>
      </c>
      <c r="B50" s="2" t="s">
        <v>393</v>
      </c>
      <c r="C50" s="2">
        <v>65</v>
      </c>
      <c r="D50" s="7">
        <v>3.1788099159920957</v>
      </c>
    </row>
    <row r="51" spans="1:4" x14ac:dyDescent="0.2">
      <c r="A51" s="2" t="s">
        <v>325</v>
      </c>
      <c r="B51" s="2" t="s">
        <v>393</v>
      </c>
      <c r="C51" s="2">
        <v>39</v>
      </c>
      <c r="D51" s="7">
        <v>2.9630016284604417</v>
      </c>
    </row>
    <row r="52" spans="1:4" x14ac:dyDescent="0.2">
      <c r="A52" s="2" t="s">
        <v>632</v>
      </c>
      <c r="B52" s="2" t="s">
        <v>393</v>
      </c>
      <c r="C52" s="2">
        <v>17</v>
      </c>
      <c r="D52" s="7">
        <v>2.620602504980357</v>
      </c>
    </row>
    <row r="53" spans="1:4" x14ac:dyDescent="0.2">
      <c r="A53" s="2" t="s">
        <v>321</v>
      </c>
      <c r="B53" s="2" t="s">
        <v>393</v>
      </c>
      <c r="C53" s="2">
        <v>7</v>
      </c>
      <c r="D53" s="7">
        <v>2.5319705525213378</v>
      </c>
    </row>
    <row r="54" spans="1:4" x14ac:dyDescent="0.2">
      <c r="A54" s="2" t="s">
        <v>317</v>
      </c>
      <c r="B54" s="2" t="s">
        <v>393</v>
      </c>
      <c r="C54" s="2">
        <v>15</v>
      </c>
      <c r="D54" s="7">
        <v>2.5041579671335388</v>
      </c>
    </row>
    <row r="55" spans="1:4" x14ac:dyDescent="0.2">
      <c r="A55" s="2" t="s">
        <v>323</v>
      </c>
      <c r="B55" s="2" t="s">
        <v>393</v>
      </c>
      <c r="C55" s="2">
        <v>9</v>
      </c>
      <c r="D55" s="7">
        <v>2.3630673486854912</v>
      </c>
    </row>
    <row r="56" spans="1:4" x14ac:dyDescent="0.2">
      <c r="A56" s="2" t="s">
        <v>309</v>
      </c>
      <c r="B56" s="2" t="s">
        <v>393</v>
      </c>
      <c r="C56" s="2">
        <v>74</v>
      </c>
      <c r="D56" s="7">
        <v>2.2834018445839872</v>
      </c>
    </row>
    <row r="57" spans="1:4" x14ac:dyDescent="0.2">
      <c r="A57" s="2" t="s">
        <v>311</v>
      </c>
      <c r="B57" s="2" t="s">
        <v>393</v>
      </c>
      <c r="C57" s="2">
        <v>4</v>
      </c>
      <c r="D57" s="7">
        <v>2.0279362265329937</v>
      </c>
    </row>
    <row r="58" spans="1:4" x14ac:dyDescent="0.2">
      <c r="A58" t="s">
        <v>301</v>
      </c>
      <c r="B58" t="s">
        <v>393</v>
      </c>
      <c r="C58">
        <v>72</v>
      </c>
      <c r="D58" s="8">
        <v>1.9979862253931937</v>
      </c>
    </row>
    <row r="59" spans="1:4" x14ac:dyDescent="0.2">
      <c r="A59" t="s">
        <v>692</v>
      </c>
      <c r="B59" t="s">
        <v>393</v>
      </c>
      <c r="C59">
        <v>10</v>
      </c>
      <c r="D59" s="8">
        <v>1.8531494125514969</v>
      </c>
    </row>
    <row r="60" spans="1:4" x14ac:dyDescent="0.2">
      <c r="A60" t="s">
        <v>347</v>
      </c>
      <c r="B60" t="s">
        <v>393</v>
      </c>
      <c r="C60">
        <v>130</v>
      </c>
      <c r="D60" s="8">
        <v>1.8120555682382513</v>
      </c>
    </row>
    <row r="61" spans="1:4" x14ac:dyDescent="0.2">
      <c r="A61" t="s">
        <v>305</v>
      </c>
      <c r="B61" t="s">
        <v>393</v>
      </c>
      <c r="C61">
        <v>5</v>
      </c>
      <c r="D61" s="8">
        <v>1.7918753336852549</v>
      </c>
    </row>
    <row r="62" spans="1:4" x14ac:dyDescent="0.2">
      <c r="A62" t="s">
        <v>345</v>
      </c>
      <c r="B62" t="s">
        <v>393</v>
      </c>
      <c r="C62">
        <v>5</v>
      </c>
      <c r="D62" s="8">
        <v>1.6711837757111947</v>
      </c>
    </row>
    <row r="63" spans="1:4" x14ac:dyDescent="0.2">
      <c r="A63" t="s">
        <v>684</v>
      </c>
      <c r="B63" t="s">
        <v>393</v>
      </c>
      <c r="C63">
        <v>8</v>
      </c>
      <c r="D63" s="8">
        <v>1.5849583407847669</v>
      </c>
    </row>
    <row r="64" spans="1:4" x14ac:dyDescent="0.2">
      <c r="A64" t="s">
        <v>742</v>
      </c>
      <c r="B64" t="s">
        <v>393</v>
      </c>
      <c r="C64">
        <v>62</v>
      </c>
      <c r="D64" s="8">
        <v>1.5675460566562944</v>
      </c>
    </row>
    <row r="65" spans="1:4" x14ac:dyDescent="0.2">
      <c r="A65" t="s">
        <v>339</v>
      </c>
      <c r="B65" t="s">
        <v>393</v>
      </c>
      <c r="C65">
        <v>39</v>
      </c>
      <c r="D65" s="8">
        <v>1.526441486741881</v>
      </c>
    </row>
    <row r="66" spans="1:4" x14ac:dyDescent="0.2">
      <c r="A66" t="s">
        <v>744</v>
      </c>
      <c r="B66" t="s">
        <v>393</v>
      </c>
      <c r="C66">
        <v>7</v>
      </c>
      <c r="D66" s="8">
        <v>1.5123085769141866</v>
      </c>
    </row>
    <row r="67" spans="1:4" x14ac:dyDescent="0.2">
      <c r="A67" t="s">
        <v>626</v>
      </c>
      <c r="B67" t="s">
        <v>393</v>
      </c>
      <c r="C67">
        <v>4</v>
      </c>
      <c r="D67" s="8">
        <v>1.4950857258663854</v>
      </c>
    </row>
    <row r="68" spans="1:4" x14ac:dyDescent="0.2">
      <c r="A68" t="s">
        <v>315</v>
      </c>
      <c r="B68" t="s">
        <v>393</v>
      </c>
      <c r="C68">
        <v>14</v>
      </c>
      <c r="D68" s="8">
        <v>1.4516736333857339</v>
      </c>
    </row>
    <row r="69" spans="1:4" x14ac:dyDescent="0.2">
      <c r="A69" t="s">
        <v>628</v>
      </c>
      <c r="B69" t="s">
        <v>393</v>
      </c>
      <c r="C69">
        <v>4</v>
      </c>
      <c r="D69" s="8">
        <v>1.450735232709264</v>
      </c>
    </row>
    <row r="70" spans="1:4" x14ac:dyDescent="0.2">
      <c r="A70" t="s">
        <v>746</v>
      </c>
      <c r="B70" t="s">
        <v>393</v>
      </c>
      <c r="C70">
        <v>3</v>
      </c>
      <c r="D70" s="8">
        <v>1.4369111674530419</v>
      </c>
    </row>
    <row r="71" spans="1:4" x14ac:dyDescent="0.2">
      <c r="A71" t="s">
        <v>694</v>
      </c>
      <c r="B71" t="s">
        <v>393</v>
      </c>
      <c r="C71">
        <v>5</v>
      </c>
      <c r="D71" s="8">
        <v>1.4321721936153877</v>
      </c>
    </row>
    <row r="72" spans="1:4" x14ac:dyDescent="0.2">
      <c r="A72" t="s">
        <v>748</v>
      </c>
      <c r="B72" t="s">
        <v>393</v>
      </c>
      <c r="C72">
        <v>7</v>
      </c>
      <c r="D72" s="8">
        <v>1.4273626721330093</v>
      </c>
    </row>
    <row r="73" spans="1:4" x14ac:dyDescent="0.2">
      <c r="A73" t="s">
        <v>307</v>
      </c>
      <c r="B73" t="s">
        <v>393</v>
      </c>
      <c r="C73">
        <v>21</v>
      </c>
      <c r="D73" s="8">
        <v>1.3660974679315996</v>
      </c>
    </row>
    <row r="74" spans="1:4" x14ac:dyDescent="0.2">
      <c r="A74" t="s">
        <v>750</v>
      </c>
      <c r="B74" t="s">
        <v>393</v>
      </c>
      <c r="C74">
        <v>10</v>
      </c>
      <c r="D74" s="8">
        <v>1.3200979636336858</v>
      </c>
    </row>
    <row r="75" spans="1:4" x14ac:dyDescent="0.2">
      <c r="A75" t="s">
        <v>752</v>
      </c>
      <c r="B75" t="s">
        <v>393</v>
      </c>
      <c r="C75">
        <v>8</v>
      </c>
      <c r="D75" s="8">
        <v>1.3123967448329774</v>
      </c>
    </row>
    <row r="76" spans="1:4" x14ac:dyDescent="0.2">
      <c r="A76" t="s">
        <v>754</v>
      </c>
      <c r="B76" t="s">
        <v>393</v>
      </c>
      <c r="C76">
        <v>3</v>
      </c>
      <c r="D76" s="8">
        <v>1.301158051007913</v>
      </c>
    </row>
    <row r="77" spans="1:4" x14ac:dyDescent="0.2">
      <c r="A77" t="s">
        <v>756</v>
      </c>
      <c r="B77" t="s">
        <v>393</v>
      </c>
      <c r="C77">
        <v>3</v>
      </c>
      <c r="D77" s="8">
        <v>1.301158051007913</v>
      </c>
    </row>
    <row r="78" spans="1:4" x14ac:dyDescent="0.2">
      <c r="A78" t="s">
        <v>686</v>
      </c>
      <c r="B78" t="s">
        <v>393</v>
      </c>
      <c r="C78">
        <v>3</v>
      </c>
      <c r="D78" s="8">
        <v>1.301158051007913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4DEF-795B-E64F-93A6-B773FE5E44F1}">
  <dimension ref="A1:D20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420</v>
      </c>
      <c r="B2" s="2" t="s">
        <v>350</v>
      </c>
      <c r="C2" s="2">
        <v>23</v>
      </c>
      <c r="D2" s="7">
        <v>2.9716310492481548</v>
      </c>
    </row>
    <row r="3" spans="1:4" x14ac:dyDescent="0.2">
      <c r="A3" s="2" t="s">
        <v>406</v>
      </c>
      <c r="B3" s="2" t="s">
        <v>350</v>
      </c>
      <c r="C3" s="2">
        <v>14</v>
      </c>
      <c r="D3" s="7">
        <v>2.9414796890057677</v>
      </c>
    </row>
    <row r="4" spans="1:4" x14ac:dyDescent="0.2">
      <c r="A4" s="2" t="s">
        <v>432</v>
      </c>
      <c r="B4" s="2" t="s">
        <v>350</v>
      </c>
      <c r="C4" s="2">
        <v>10</v>
      </c>
      <c r="D4" s="7">
        <v>2.6057604028029693</v>
      </c>
    </row>
    <row r="5" spans="1:4" x14ac:dyDescent="0.2">
      <c r="A5" s="2" t="s">
        <v>412</v>
      </c>
      <c r="B5" s="2" t="s">
        <v>350</v>
      </c>
      <c r="C5" s="2">
        <v>25</v>
      </c>
      <c r="D5" s="7">
        <v>2.4224432760036199</v>
      </c>
    </row>
    <row r="6" spans="1:4" x14ac:dyDescent="0.2">
      <c r="A6" s="2" t="s">
        <v>446</v>
      </c>
      <c r="B6" s="2" t="s">
        <v>350</v>
      </c>
      <c r="C6" s="2">
        <v>10</v>
      </c>
      <c r="D6" s="7">
        <v>2.356689132891284</v>
      </c>
    </row>
    <row r="7" spans="1:4" x14ac:dyDescent="0.2">
      <c r="A7" s="2" t="s">
        <v>398</v>
      </c>
      <c r="B7" s="2" t="s">
        <v>350</v>
      </c>
      <c r="C7" s="2">
        <v>6</v>
      </c>
      <c r="D7" s="7">
        <v>2.1273007726154862</v>
      </c>
    </row>
    <row r="8" spans="1:4" x14ac:dyDescent="0.2">
      <c r="A8" s="2" t="s">
        <v>400</v>
      </c>
      <c r="B8" s="2" t="s">
        <v>350</v>
      </c>
      <c r="C8" s="2">
        <v>11</v>
      </c>
      <c r="D8" s="7">
        <v>2.1028360128851702</v>
      </c>
    </row>
    <row r="9" spans="1:4" x14ac:dyDescent="0.2">
      <c r="A9" s="2" t="s">
        <v>634</v>
      </c>
      <c r="B9" s="2" t="s">
        <v>350</v>
      </c>
      <c r="C9" s="2">
        <v>7</v>
      </c>
      <c r="D9" s="7">
        <v>2.1017298861051823</v>
      </c>
    </row>
    <row r="10" spans="1:4" x14ac:dyDescent="0.2">
      <c r="A10" s="2" t="s">
        <v>670</v>
      </c>
      <c r="B10" s="2" t="s">
        <v>350</v>
      </c>
      <c r="C10" s="2">
        <v>8</v>
      </c>
      <c r="D10" s="7">
        <v>2.0107499090084029</v>
      </c>
    </row>
    <row r="11" spans="1:4" x14ac:dyDescent="0.2">
      <c r="A11" s="2" t="s">
        <v>380</v>
      </c>
      <c r="B11" s="2" t="s">
        <v>394</v>
      </c>
      <c r="C11" s="2">
        <v>13</v>
      </c>
      <c r="D11" s="7">
        <v>2.5116925982222478</v>
      </c>
    </row>
    <row r="12" spans="1:4" x14ac:dyDescent="0.2">
      <c r="A12" s="2" t="s">
        <v>674</v>
      </c>
      <c r="B12" s="2" t="s">
        <v>394</v>
      </c>
      <c r="C12" s="2">
        <v>12</v>
      </c>
      <c r="D12" s="7">
        <v>2.4066755262110364</v>
      </c>
    </row>
    <row r="13" spans="1:4" x14ac:dyDescent="0.2">
      <c r="A13" s="2" t="s">
        <v>313</v>
      </c>
      <c r="B13" s="2" t="s">
        <v>393</v>
      </c>
      <c r="C13" s="2">
        <v>65</v>
      </c>
      <c r="D13" s="7">
        <v>3.1788099159920957</v>
      </c>
    </row>
    <row r="14" spans="1:4" x14ac:dyDescent="0.2">
      <c r="A14" s="2" t="s">
        <v>325</v>
      </c>
      <c r="B14" s="2" t="s">
        <v>393</v>
      </c>
      <c r="C14" s="2">
        <v>39</v>
      </c>
      <c r="D14" s="7">
        <v>2.9630016284604417</v>
      </c>
    </row>
    <row r="15" spans="1:4" x14ac:dyDescent="0.2">
      <c r="A15" s="2" t="s">
        <v>632</v>
      </c>
      <c r="B15" s="2" t="s">
        <v>393</v>
      </c>
      <c r="C15" s="2">
        <v>17</v>
      </c>
      <c r="D15" s="7">
        <v>2.620602504980357</v>
      </c>
    </row>
    <row r="16" spans="1:4" x14ac:dyDescent="0.2">
      <c r="A16" s="2" t="s">
        <v>321</v>
      </c>
      <c r="B16" s="2" t="s">
        <v>393</v>
      </c>
      <c r="C16" s="2">
        <v>7</v>
      </c>
      <c r="D16" s="7">
        <v>2.5319705525213378</v>
      </c>
    </row>
    <row r="17" spans="1:4" x14ac:dyDescent="0.2">
      <c r="A17" s="2" t="s">
        <v>317</v>
      </c>
      <c r="B17" s="2" t="s">
        <v>393</v>
      </c>
      <c r="C17" s="2">
        <v>15</v>
      </c>
      <c r="D17" s="7">
        <v>2.5041579671335388</v>
      </c>
    </row>
    <row r="18" spans="1:4" x14ac:dyDescent="0.2">
      <c r="A18" s="2" t="s">
        <v>323</v>
      </c>
      <c r="B18" s="2" t="s">
        <v>393</v>
      </c>
      <c r="C18" s="2">
        <v>9</v>
      </c>
      <c r="D18" s="7">
        <v>2.3630673486854912</v>
      </c>
    </row>
    <row r="19" spans="1:4" x14ac:dyDescent="0.2">
      <c r="A19" s="2" t="s">
        <v>309</v>
      </c>
      <c r="B19" s="2" t="s">
        <v>393</v>
      </c>
      <c r="C19" s="2">
        <v>74</v>
      </c>
      <c r="D19" s="7">
        <v>2.2834018445839872</v>
      </c>
    </row>
    <row r="20" spans="1:4" x14ac:dyDescent="0.2">
      <c r="A20" s="2" t="s">
        <v>311</v>
      </c>
      <c r="B20" s="2" t="s">
        <v>393</v>
      </c>
      <c r="C20" s="2">
        <v>4</v>
      </c>
      <c r="D20" s="7">
        <v>2.0279362265329937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24C2-246C-1E43-9028-26048C42A13F}">
  <dimension ref="A1:D55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398</v>
      </c>
      <c r="B2" s="2" t="s">
        <v>350</v>
      </c>
      <c r="C2" s="2">
        <v>6</v>
      </c>
      <c r="D2" s="7">
        <v>2.7078425910086024</v>
      </c>
    </row>
    <row r="3" spans="1:4" x14ac:dyDescent="0.2">
      <c r="A3" s="2" t="s">
        <v>420</v>
      </c>
      <c r="B3" s="2" t="s">
        <v>350</v>
      </c>
      <c r="C3" s="2">
        <v>18</v>
      </c>
      <c r="D3" s="7">
        <v>2.6725765344347452</v>
      </c>
    </row>
    <row r="4" spans="1:4" x14ac:dyDescent="0.2">
      <c r="A4" s="2" t="s">
        <v>406</v>
      </c>
      <c r="B4" s="2" t="s">
        <v>350</v>
      </c>
      <c r="C4" s="2">
        <v>11</v>
      </c>
      <c r="D4" s="7">
        <v>2.5366699572488294</v>
      </c>
    </row>
    <row r="5" spans="1:4" x14ac:dyDescent="0.2">
      <c r="A5" s="2" t="s">
        <v>400</v>
      </c>
      <c r="B5" s="2" t="s">
        <v>350</v>
      </c>
      <c r="C5" s="2">
        <v>10</v>
      </c>
      <c r="D5" s="7">
        <v>2.5144236386603689</v>
      </c>
    </row>
    <row r="6" spans="1:4" x14ac:dyDescent="0.2">
      <c r="A6" s="2" t="s">
        <v>396</v>
      </c>
      <c r="B6" s="2" t="s">
        <v>350</v>
      </c>
      <c r="C6" s="2">
        <v>9</v>
      </c>
      <c r="D6" s="7">
        <v>2.4018097106077674</v>
      </c>
    </row>
    <row r="7" spans="1:4" x14ac:dyDescent="0.2">
      <c r="A7" s="2" t="s">
        <v>412</v>
      </c>
      <c r="B7" s="2" t="s">
        <v>350</v>
      </c>
      <c r="C7" s="2">
        <v>20</v>
      </c>
      <c r="D7" s="7">
        <v>2.3972771550521896</v>
      </c>
    </row>
    <row r="8" spans="1:4" x14ac:dyDescent="0.2">
      <c r="A8" s="2" t="s">
        <v>402</v>
      </c>
      <c r="B8" s="2" t="s">
        <v>350</v>
      </c>
      <c r="C8" s="2">
        <v>10</v>
      </c>
      <c r="D8" s="7">
        <v>2.2828922466698818</v>
      </c>
    </row>
    <row r="9" spans="1:4" x14ac:dyDescent="0.2">
      <c r="A9" s="2" t="s">
        <v>448</v>
      </c>
      <c r="B9" s="2" t="s">
        <v>350</v>
      </c>
      <c r="C9" s="2">
        <v>8</v>
      </c>
      <c r="D9" s="7">
        <v>2.0545266948423309</v>
      </c>
    </row>
    <row r="10" spans="1:4" x14ac:dyDescent="0.2">
      <c r="A10" s="2" t="s">
        <v>634</v>
      </c>
      <c r="B10" s="2" t="s">
        <v>350</v>
      </c>
      <c r="C10" s="2">
        <v>6</v>
      </c>
      <c r="D10" s="7">
        <v>2.0495827469935084</v>
      </c>
    </row>
    <row r="11" spans="1:4" x14ac:dyDescent="0.2">
      <c r="A11" t="s">
        <v>636</v>
      </c>
      <c r="B11" t="s">
        <v>350</v>
      </c>
      <c r="C11">
        <v>3</v>
      </c>
      <c r="D11" s="8">
        <v>1.9490514992858379</v>
      </c>
    </row>
    <row r="12" spans="1:4" x14ac:dyDescent="0.2">
      <c r="A12" t="s">
        <v>410</v>
      </c>
      <c r="B12" t="s">
        <v>350</v>
      </c>
      <c r="C12">
        <v>5</v>
      </c>
      <c r="D12" s="8">
        <v>1.8116402361271324</v>
      </c>
    </row>
    <row r="13" spans="1:4" x14ac:dyDescent="0.2">
      <c r="A13" t="s">
        <v>638</v>
      </c>
      <c r="B13" t="s">
        <v>350</v>
      </c>
      <c r="C13">
        <v>11</v>
      </c>
      <c r="D13" s="8">
        <v>1.7356836885790639</v>
      </c>
    </row>
    <row r="14" spans="1:4" x14ac:dyDescent="0.2">
      <c r="A14" t="s">
        <v>640</v>
      </c>
      <c r="B14" t="s">
        <v>350</v>
      </c>
      <c r="C14">
        <v>3</v>
      </c>
      <c r="D14" s="8">
        <v>1.6006357383635927</v>
      </c>
    </row>
    <row r="15" spans="1:4" x14ac:dyDescent="0.2">
      <c r="A15" t="s">
        <v>424</v>
      </c>
      <c r="B15" t="s">
        <v>350</v>
      </c>
      <c r="C15">
        <v>12</v>
      </c>
      <c r="D15" s="8">
        <v>1.5601030859239706</v>
      </c>
    </row>
    <row r="16" spans="1:4" x14ac:dyDescent="0.2">
      <c r="A16" t="s">
        <v>426</v>
      </c>
      <c r="B16" t="s">
        <v>350</v>
      </c>
      <c r="C16">
        <v>5</v>
      </c>
      <c r="D16" s="8">
        <v>1.5546824275073641</v>
      </c>
    </row>
    <row r="17" spans="1:4" x14ac:dyDescent="0.2">
      <c r="A17" t="s">
        <v>446</v>
      </c>
      <c r="B17" t="s">
        <v>350</v>
      </c>
      <c r="C17">
        <v>7</v>
      </c>
      <c r="D17" s="8">
        <v>1.550640973689821</v>
      </c>
    </row>
    <row r="18" spans="1:4" x14ac:dyDescent="0.2">
      <c r="A18" t="s">
        <v>404</v>
      </c>
      <c r="B18" t="s">
        <v>350</v>
      </c>
      <c r="C18">
        <v>5</v>
      </c>
      <c r="D18" s="8">
        <v>1.4573057429627314</v>
      </c>
    </row>
    <row r="19" spans="1:4" x14ac:dyDescent="0.2">
      <c r="A19" t="s">
        <v>642</v>
      </c>
      <c r="B19" t="s">
        <v>350</v>
      </c>
      <c r="C19">
        <v>12</v>
      </c>
      <c r="D19" s="8">
        <v>1.4528653753605145</v>
      </c>
    </row>
    <row r="20" spans="1:4" x14ac:dyDescent="0.2">
      <c r="A20" t="s">
        <v>422</v>
      </c>
      <c r="B20" t="s">
        <v>350</v>
      </c>
      <c r="C20">
        <v>6</v>
      </c>
      <c r="D20" s="8">
        <v>1.4274649848551673</v>
      </c>
    </row>
    <row r="21" spans="1:4" x14ac:dyDescent="0.2">
      <c r="A21" t="s">
        <v>644</v>
      </c>
      <c r="B21" t="s">
        <v>350</v>
      </c>
      <c r="C21">
        <v>21</v>
      </c>
      <c r="D21" s="8">
        <v>1.3915766279635025</v>
      </c>
    </row>
    <row r="22" spans="1:4" x14ac:dyDescent="0.2">
      <c r="A22" t="s">
        <v>428</v>
      </c>
      <c r="B22" t="s">
        <v>350</v>
      </c>
      <c r="C22">
        <v>9</v>
      </c>
      <c r="D22" s="8">
        <v>1.3614328547210277</v>
      </c>
    </row>
    <row r="23" spans="1:4" x14ac:dyDescent="0.2">
      <c r="A23" t="s">
        <v>408</v>
      </c>
      <c r="B23" t="s">
        <v>350</v>
      </c>
      <c r="C23">
        <v>6</v>
      </c>
      <c r="D23" s="8">
        <v>1.3575317514444301</v>
      </c>
    </row>
    <row r="24" spans="1:4" x14ac:dyDescent="0.2">
      <c r="A24" s="2" t="s">
        <v>674</v>
      </c>
      <c r="B24" s="2" t="s">
        <v>394</v>
      </c>
      <c r="C24" s="2">
        <v>11</v>
      </c>
      <c r="D24" s="7">
        <v>2.8733300731661147</v>
      </c>
    </row>
    <row r="25" spans="1:4" x14ac:dyDescent="0.2">
      <c r="A25" s="2" t="s">
        <v>354</v>
      </c>
      <c r="B25" s="2" t="s">
        <v>394</v>
      </c>
      <c r="C25" s="2">
        <v>139</v>
      </c>
      <c r="D25" s="7">
        <v>2.6068067278261209</v>
      </c>
    </row>
    <row r="26" spans="1:4" x14ac:dyDescent="0.2">
      <c r="A26" s="2" t="s">
        <v>352</v>
      </c>
      <c r="B26" s="2" t="s">
        <v>394</v>
      </c>
      <c r="C26" s="2">
        <v>27</v>
      </c>
      <c r="D26" s="7">
        <v>2.3531261022159216</v>
      </c>
    </row>
    <row r="27" spans="1:4" x14ac:dyDescent="0.2">
      <c r="A27" s="2" t="s">
        <v>358</v>
      </c>
      <c r="B27" s="2" t="s">
        <v>394</v>
      </c>
      <c r="C27" s="2">
        <v>11</v>
      </c>
      <c r="D27" s="7">
        <v>2.3286499670319292</v>
      </c>
    </row>
    <row r="28" spans="1:4" x14ac:dyDescent="0.2">
      <c r="A28" s="2" t="s">
        <v>676</v>
      </c>
      <c r="B28" s="2" t="s">
        <v>394</v>
      </c>
      <c r="C28" s="2">
        <v>4</v>
      </c>
      <c r="D28" s="7">
        <v>2.1777020021172984</v>
      </c>
    </row>
    <row r="29" spans="1:4" x14ac:dyDescent="0.2">
      <c r="A29" s="2" t="s">
        <v>386</v>
      </c>
      <c r="B29" s="2" t="s">
        <v>394</v>
      </c>
      <c r="C29" s="2">
        <v>5</v>
      </c>
      <c r="D29" s="7">
        <v>2.1589271437555775</v>
      </c>
    </row>
    <row r="30" spans="1:4" x14ac:dyDescent="0.2">
      <c r="A30" s="2" t="s">
        <v>356</v>
      </c>
      <c r="B30" s="2" t="s">
        <v>394</v>
      </c>
      <c r="C30" s="2">
        <v>13</v>
      </c>
      <c r="D30" s="7">
        <v>2.0273294401357393</v>
      </c>
    </row>
    <row r="31" spans="1:4" x14ac:dyDescent="0.2">
      <c r="A31" t="s">
        <v>620</v>
      </c>
      <c r="B31" t="s">
        <v>394</v>
      </c>
      <c r="C31">
        <v>9</v>
      </c>
      <c r="D31" s="8">
        <v>1.8726026166027341</v>
      </c>
    </row>
    <row r="32" spans="1:4" x14ac:dyDescent="0.2">
      <c r="A32" t="s">
        <v>388</v>
      </c>
      <c r="B32" t="s">
        <v>394</v>
      </c>
      <c r="C32">
        <v>6</v>
      </c>
      <c r="D32" s="8">
        <v>1.64334852669788</v>
      </c>
    </row>
    <row r="33" spans="1:4" x14ac:dyDescent="0.2">
      <c r="A33" t="s">
        <v>678</v>
      </c>
      <c r="B33" t="s">
        <v>394</v>
      </c>
      <c r="C33">
        <v>34</v>
      </c>
      <c r="D33" s="8">
        <v>1.5310590075427208</v>
      </c>
    </row>
    <row r="34" spans="1:4" x14ac:dyDescent="0.2">
      <c r="A34" t="s">
        <v>680</v>
      </c>
      <c r="B34" t="s">
        <v>394</v>
      </c>
      <c r="C34">
        <v>5</v>
      </c>
      <c r="D34" s="8">
        <v>1.4972165416646319</v>
      </c>
    </row>
    <row r="35" spans="1:4" x14ac:dyDescent="0.2">
      <c r="A35" t="s">
        <v>372</v>
      </c>
      <c r="B35" t="s">
        <v>394</v>
      </c>
      <c r="C35">
        <v>10</v>
      </c>
      <c r="D35" s="8">
        <v>1.4440829249790612</v>
      </c>
    </row>
    <row r="36" spans="1:4" x14ac:dyDescent="0.2">
      <c r="A36" t="s">
        <v>614</v>
      </c>
      <c r="B36" t="s">
        <v>394</v>
      </c>
      <c r="C36">
        <v>27</v>
      </c>
      <c r="D36" s="8">
        <v>1.4022755198401371</v>
      </c>
    </row>
    <row r="37" spans="1:4" x14ac:dyDescent="0.2">
      <c r="A37" s="2" t="s">
        <v>301</v>
      </c>
      <c r="B37" s="2" t="s">
        <v>393</v>
      </c>
      <c r="C37" s="2">
        <v>60</v>
      </c>
      <c r="D37" s="7">
        <v>2.9117066342527287</v>
      </c>
    </row>
    <row r="38" spans="1:4" x14ac:dyDescent="0.2">
      <c r="A38" s="2" t="s">
        <v>309</v>
      </c>
      <c r="B38" s="2" t="s">
        <v>393</v>
      </c>
      <c r="C38" s="2">
        <v>60</v>
      </c>
      <c r="D38" s="7">
        <v>2.8768499151767326</v>
      </c>
    </row>
    <row r="39" spans="1:4" x14ac:dyDescent="0.2">
      <c r="A39" s="2" t="s">
        <v>317</v>
      </c>
      <c r="B39" s="2" t="s">
        <v>393</v>
      </c>
      <c r="C39" s="2">
        <v>13</v>
      </c>
      <c r="D39" s="7">
        <v>2.7631199335572663</v>
      </c>
    </row>
    <row r="40" spans="1:4" x14ac:dyDescent="0.2">
      <c r="A40" s="2" t="s">
        <v>321</v>
      </c>
      <c r="B40" s="2" t="s">
        <v>393</v>
      </c>
      <c r="C40" s="2">
        <v>6</v>
      </c>
      <c r="D40" s="7">
        <v>2.4108075601568779</v>
      </c>
    </row>
    <row r="41" spans="1:4" x14ac:dyDescent="0.2">
      <c r="A41" s="2" t="s">
        <v>311</v>
      </c>
      <c r="B41" s="2" t="s">
        <v>393</v>
      </c>
      <c r="C41" s="2">
        <v>4</v>
      </c>
      <c r="D41" s="7">
        <v>2.4019305696293785</v>
      </c>
    </row>
    <row r="42" spans="1:4" x14ac:dyDescent="0.2">
      <c r="A42" s="2" t="s">
        <v>339</v>
      </c>
      <c r="B42" s="2" t="s">
        <v>393</v>
      </c>
      <c r="C42" s="2">
        <v>34</v>
      </c>
      <c r="D42" s="7">
        <v>2.3764626877527886</v>
      </c>
    </row>
    <row r="43" spans="1:4" x14ac:dyDescent="0.2">
      <c r="A43" s="2" t="s">
        <v>325</v>
      </c>
      <c r="B43" s="2" t="s">
        <v>393</v>
      </c>
      <c r="C43" s="2">
        <v>29</v>
      </c>
      <c r="D43" s="7">
        <v>2.3649511584942573</v>
      </c>
    </row>
    <row r="44" spans="1:4" x14ac:dyDescent="0.2">
      <c r="A44" t="s">
        <v>313</v>
      </c>
      <c r="B44" t="s">
        <v>393</v>
      </c>
      <c r="C44">
        <v>45</v>
      </c>
      <c r="D44" s="8">
        <v>1.8917507263447777</v>
      </c>
    </row>
    <row r="45" spans="1:4" x14ac:dyDescent="0.2">
      <c r="A45" t="s">
        <v>632</v>
      </c>
      <c r="B45" t="s">
        <v>393</v>
      </c>
      <c r="C45">
        <v>12</v>
      </c>
      <c r="D45" s="8">
        <v>1.7717216250044263</v>
      </c>
    </row>
    <row r="46" spans="1:4" x14ac:dyDescent="0.2">
      <c r="A46" t="s">
        <v>630</v>
      </c>
      <c r="B46" t="s">
        <v>393</v>
      </c>
      <c r="C46">
        <v>24</v>
      </c>
      <c r="D46" s="8">
        <v>1.7335091043560193</v>
      </c>
    </row>
    <row r="47" spans="1:4" x14ac:dyDescent="0.2">
      <c r="A47" t="s">
        <v>684</v>
      </c>
      <c r="B47" t="s">
        <v>393</v>
      </c>
      <c r="C47">
        <v>7</v>
      </c>
      <c r="D47" s="8">
        <v>1.7062013806351419</v>
      </c>
    </row>
    <row r="48" spans="1:4" x14ac:dyDescent="0.2">
      <c r="A48" t="s">
        <v>303</v>
      </c>
      <c r="B48" t="s">
        <v>393</v>
      </c>
      <c r="C48">
        <v>6</v>
      </c>
      <c r="D48" s="8">
        <v>1.651572524323643</v>
      </c>
    </row>
    <row r="49" spans="1:4" x14ac:dyDescent="0.2">
      <c r="A49" t="s">
        <v>347</v>
      </c>
      <c r="B49" t="s">
        <v>393</v>
      </c>
      <c r="C49">
        <v>97</v>
      </c>
      <c r="D49" s="8">
        <v>1.6466781447678012</v>
      </c>
    </row>
    <row r="50" spans="1:4" x14ac:dyDescent="0.2">
      <c r="A50" t="s">
        <v>686</v>
      </c>
      <c r="B50" t="s">
        <v>393</v>
      </c>
      <c r="C50">
        <v>3</v>
      </c>
      <c r="D50" s="8">
        <v>1.5476948709563993</v>
      </c>
    </row>
    <row r="51" spans="1:4" x14ac:dyDescent="0.2">
      <c r="A51" t="s">
        <v>305</v>
      </c>
      <c r="B51" t="s">
        <v>393</v>
      </c>
      <c r="C51">
        <v>4</v>
      </c>
      <c r="D51" s="8">
        <v>1.4586762616108149</v>
      </c>
    </row>
    <row r="52" spans="1:4" x14ac:dyDescent="0.2">
      <c r="A52" t="s">
        <v>688</v>
      </c>
      <c r="B52" t="s">
        <v>393</v>
      </c>
      <c r="C52">
        <v>56</v>
      </c>
      <c r="D52" s="8">
        <v>1.449440681103733</v>
      </c>
    </row>
    <row r="53" spans="1:4" x14ac:dyDescent="0.2">
      <c r="A53" t="s">
        <v>323</v>
      </c>
      <c r="B53" t="s">
        <v>393</v>
      </c>
      <c r="C53">
        <v>6</v>
      </c>
      <c r="D53" s="8">
        <v>1.3838509314368728</v>
      </c>
    </row>
    <row r="54" spans="1:4" x14ac:dyDescent="0.2">
      <c r="A54" t="s">
        <v>345</v>
      </c>
      <c r="B54" t="s">
        <v>393</v>
      </c>
      <c r="C54">
        <v>4</v>
      </c>
      <c r="D54" s="8">
        <v>1.3678575302683149</v>
      </c>
    </row>
    <row r="55" spans="1:4" x14ac:dyDescent="0.2">
      <c r="A55" t="s">
        <v>315</v>
      </c>
      <c r="B55" t="s">
        <v>393</v>
      </c>
      <c r="C55">
        <v>11</v>
      </c>
      <c r="D55" s="8">
        <v>1.33520694614563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A054-3A00-394C-886D-AE88ED3980C2}">
  <dimension ref="A1:D24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398</v>
      </c>
      <c r="B2" s="2" t="s">
        <v>350</v>
      </c>
      <c r="C2" s="2">
        <v>6</v>
      </c>
      <c r="D2" s="7">
        <v>2.7078425910086024</v>
      </c>
    </row>
    <row r="3" spans="1:4" x14ac:dyDescent="0.2">
      <c r="A3" s="2" t="s">
        <v>420</v>
      </c>
      <c r="B3" s="2" t="s">
        <v>350</v>
      </c>
      <c r="C3" s="2">
        <v>18</v>
      </c>
      <c r="D3" s="7">
        <v>2.6725765344347452</v>
      </c>
    </row>
    <row r="4" spans="1:4" x14ac:dyDescent="0.2">
      <c r="A4" s="2" t="s">
        <v>406</v>
      </c>
      <c r="B4" s="2" t="s">
        <v>350</v>
      </c>
      <c r="C4" s="2">
        <v>11</v>
      </c>
      <c r="D4" s="7">
        <v>2.5366699572488294</v>
      </c>
    </row>
    <row r="5" spans="1:4" x14ac:dyDescent="0.2">
      <c r="A5" s="2" t="s">
        <v>400</v>
      </c>
      <c r="B5" s="2" t="s">
        <v>350</v>
      </c>
      <c r="C5" s="2">
        <v>10</v>
      </c>
      <c r="D5" s="7">
        <v>2.5144236386603689</v>
      </c>
    </row>
    <row r="6" spans="1:4" x14ac:dyDescent="0.2">
      <c r="A6" s="2" t="s">
        <v>396</v>
      </c>
      <c r="B6" s="2" t="s">
        <v>350</v>
      </c>
      <c r="C6" s="2">
        <v>9</v>
      </c>
      <c r="D6" s="7">
        <v>2.4018097106077674</v>
      </c>
    </row>
    <row r="7" spans="1:4" x14ac:dyDescent="0.2">
      <c r="A7" s="2" t="s">
        <v>412</v>
      </c>
      <c r="B7" s="2" t="s">
        <v>350</v>
      </c>
      <c r="C7" s="2">
        <v>20</v>
      </c>
      <c r="D7" s="7">
        <v>2.3972771550521896</v>
      </c>
    </row>
    <row r="8" spans="1:4" x14ac:dyDescent="0.2">
      <c r="A8" s="2" t="s">
        <v>402</v>
      </c>
      <c r="B8" s="2" t="s">
        <v>350</v>
      </c>
      <c r="C8" s="2">
        <v>10</v>
      </c>
      <c r="D8" s="7">
        <v>2.2828922466698818</v>
      </c>
    </row>
    <row r="9" spans="1:4" x14ac:dyDescent="0.2">
      <c r="A9" s="2" t="s">
        <v>448</v>
      </c>
      <c r="B9" s="2" t="s">
        <v>350</v>
      </c>
      <c r="C9" s="2">
        <v>8</v>
      </c>
      <c r="D9" s="7">
        <v>2.0545266948423309</v>
      </c>
    </row>
    <row r="10" spans="1:4" x14ac:dyDescent="0.2">
      <c r="A10" s="2" t="s">
        <v>634</v>
      </c>
      <c r="B10" s="2" t="s">
        <v>350</v>
      </c>
      <c r="C10" s="2">
        <v>6</v>
      </c>
      <c r="D10" s="7">
        <v>2.0495827469935084</v>
      </c>
    </row>
    <row r="11" spans="1:4" x14ac:dyDescent="0.2">
      <c r="A11" s="2" t="s">
        <v>674</v>
      </c>
      <c r="B11" s="2" t="s">
        <v>394</v>
      </c>
      <c r="C11" s="2">
        <v>11</v>
      </c>
      <c r="D11" s="7">
        <v>2.8733300731661147</v>
      </c>
    </row>
    <row r="12" spans="1:4" x14ac:dyDescent="0.2">
      <c r="A12" s="2" t="s">
        <v>354</v>
      </c>
      <c r="B12" s="2" t="s">
        <v>394</v>
      </c>
      <c r="C12" s="2">
        <v>139</v>
      </c>
      <c r="D12" s="7">
        <v>2.6068067278261209</v>
      </c>
    </row>
    <row r="13" spans="1:4" x14ac:dyDescent="0.2">
      <c r="A13" s="2" t="s">
        <v>352</v>
      </c>
      <c r="B13" s="2" t="s">
        <v>394</v>
      </c>
      <c r="C13" s="2">
        <v>27</v>
      </c>
      <c r="D13" s="7">
        <v>2.3531261022159216</v>
      </c>
    </row>
    <row r="14" spans="1:4" x14ac:dyDescent="0.2">
      <c r="A14" s="2" t="s">
        <v>358</v>
      </c>
      <c r="B14" s="2" t="s">
        <v>394</v>
      </c>
      <c r="C14" s="2">
        <v>11</v>
      </c>
      <c r="D14" s="7">
        <v>2.3286499670319292</v>
      </c>
    </row>
    <row r="15" spans="1:4" x14ac:dyDescent="0.2">
      <c r="A15" s="2" t="s">
        <v>676</v>
      </c>
      <c r="B15" s="2" t="s">
        <v>394</v>
      </c>
      <c r="C15" s="2">
        <v>4</v>
      </c>
      <c r="D15" s="7">
        <v>2.1777020021172984</v>
      </c>
    </row>
    <row r="16" spans="1:4" x14ac:dyDescent="0.2">
      <c r="A16" s="2" t="s">
        <v>386</v>
      </c>
      <c r="B16" s="2" t="s">
        <v>394</v>
      </c>
      <c r="C16" s="2">
        <v>5</v>
      </c>
      <c r="D16" s="7">
        <v>2.1589271437555775</v>
      </c>
    </row>
    <row r="17" spans="1:4" x14ac:dyDescent="0.2">
      <c r="A17" s="2" t="s">
        <v>356</v>
      </c>
      <c r="B17" s="2" t="s">
        <v>394</v>
      </c>
      <c r="C17" s="2">
        <v>13</v>
      </c>
      <c r="D17" s="7">
        <v>2.0273294401357393</v>
      </c>
    </row>
    <row r="18" spans="1:4" x14ac:dyDescent="0.2">
      <c r="A18" s="2" t="s">
        <v>301</v>
      </c>
      <c r="B18" s="2" t="s">
        <v>393</v>
      </c>
      <c r="C18" s="2">
        <v>60</v>
      </c>
      <c r="D18" s="7">
        <v>2.9117066342527287</v>
      </c>
    </row>
    <row r="19" spans="1:4" x14ac:dyDescent="0.2">
      <c r="A19" s="2" t="s">
        <v>309</v>
      </c>
      <c r="B19" s="2" t="s">
        <v>393</v>
      </c>
      <c r="C19" s="2">
        <v>60</v>
      </c>
      <c r="D19" s="7">
        <v>2.8768499151767326</v>
      </c>
    </row>
    <row r="20" spans="1:4" x14ac:dyDescent="0.2">
      <c r="A20" s="2" t="s">
        <v>317</v>
      </c>
      <c r="B20" s="2" t="s">
        <v>393</v>
      </c>
      <c r="C20" s="2">
        <v>13</v>
      </c>
      <c r="D20" s="7">
        <v>2.7631199335572663</v>
      </c>
    </row>
    <row r="21" spans="1:4" x14ac:dyDescent="0.2">
      <c r="A21" s="2" t="s">
        <v>321</v>
      </c>
      <c r="B21" s="2" t="s">
        <v>393</v>
      </c>
      <c r="C21" s="2">
        <v>6</v>
      </c>
      <c r="D21" s="7">
        <v>2.4108075601568779</v>
      </c>
    </row>
    <row r="22" spans="1:4" x14ac:dyDescent="0.2">
      <c r="A22" s="2" t="s">
        <v>311</v>
      </c>
      <c r="B22" s="2" t="s">
        <v>393</v>
      </c>
      <c r="C22" s="2">
        <v>4</v>
      </c>
      <c r="D22" s="7">
        <v>2.4019305696293785</v>
      </c>
    </row>
    <row r="23" spans="1:4" x14ac:dyDescent="0.2">
      <c r="A23" s="2" t="s">
        <v>339</v>
      </c>
      <c r="B23" s="2" t="s">
        <v>393</v>
      </c>
      <c r="C23" s="2">
        <v>34</v>
      </c>
      <c r="D23" s="7">
        <v>2.3764626877527886</v>
      </c>
    </row>
    <row r="24" spans="1:4" x14ac:dyDescent="0.2">
      <c r="A24" s="2" t="s">
        <v>325</v>
      </c>
      <c r="B24" s="2" t="s">
        <v>393</v>
      </c>
      <c r="C24" s="2">
        <v>29</v>
      </c>
      <c r="D24" s="7">
        <v>2.3649511584942573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566B-A1E9-5E4B-9DD7-6F16108A38A6}">
  <dimension ref="A1:D44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398</v>
      </c>
      <c r="B2" s="2" t="s">
        <v>350</v>
      </c>
      <c r="C2" s="2">
        <v>6</v>
      </c>
      <c r="D2" s="7">
        <v>3.353329632390833</v>
      </c>
    </row>
    <row r="3" spans="1:4" x14ac:dyDescent="0.2">
      <c r="A3" s="2" t="s">
        <v>396</v>
      </c>
      <c r="B3" s="2" t="s">
        <v>350</v>
      </c>
      <c r="C3" s="2">
        <v>9</v>
      </c>
      <c r="D3" s="7">
        <v>3.3130385417946075</v>
      </c>
    </row>
    <row r="4" spans="1:4" x14ac:dyDescent="0.2">
      <c r="A4" s="2" t="s">
        <v>402</v>
      </c>
      <c r="B4" s="2" t="s">
        <v>350</v>
      </c>
      <c r="C4" s="2">
        <v>9</v>
      </c>
      <c r="D4" s="7">
        <v>2.6367576513775224</v>
      </c>
    </row>
    <row r="5" spans="1:4" x14ac:dyDescent="0.2">
      <c r="A5" s="2" t="s">
        <v>406</v>
      </c>
      <c r="B5" s="2" t="s">
        <v>350</v>
      </c>
      <c r="C5" s="2">
        <v>9</v>
      </c>
      <c r="D5" s="7">
        <v>2.4053957171902507</v>
      </c>
    </row>
    <row r="6" spans="1:4" x14ac:dyDescent="0.2">
      <c r="A6" s="2" t="s">
        <v>400</v>
      </c>
      <c r="B6" s="2" t="s">
        <v>350</v>
      </c>
      <c r="C6" s="2">
        <v>8</v>
      </c>
      <c r="D6" s="7">
        <v>2.2461423185404108</v>
      </c>
    </row>
    <row r="7" spans="1:4" x14ac:dyDescent="0.2">
      <c r="A7" t="s">
        <v>404</v>
      </c>
      <c r="B7" t="s">
        <v>350</v>
      </c>
      <c r="C7">
        <v>5</v>
      </c>
      <c r="D7" s="8">
        <v>1.9271684123162385</v>
      </c>
    </row>
    <row r="8" spans="1:4" x14ac:dyDescent="0.2">
      <c r="A8" t="s">
        <v>408</v>
      </c>
      <c r="B8" t="s">
        <v>350</v>
      </c>
      <c r="C8">
        <v>6</v>
      </c>
      <c r="D8" s="8">
        <v>1.9027913826211986</v>
      </c>
    </row>
    <row r="9" spans="1:4" x14ac:dyDescent="0.2">
      <c r="A9" t="s">
        <v>424</v>
      </c>
      <c r="B9" t="s">
        <v>350</v>
      </c>
      <c r="C9">
        <v>10</v>
      </c>
      <c r="D9" s="8">
        <v>1.6743348640727678</v>
      </c>
    </row>
    <row r="10" spans="1:4" x14ac:dyDescent="0.2">
      <c r="A10" t="s">
        <v>604</v>
      </c>
      <c r="B10" t="s">
        <v>350</v>
      </c>
      <c r="C10">
        <v>14</v>
      </c>
      <c r="D10" s="8">
        <v>1.6472518206736391</v>
      </c>
    </row>
    <row r="11" spans="1:4" x14ac:dyDescent="0.2">
      <c r="A11" t="s">
        <v>420</v>
      </c>
      <c r="B11" t="s">
        <v>350</v>
      </c>
      <c r="C11">
        <v>12</v>
      </c>
      <c r="D11" s="8">
        <v>1.6192576166248358</v>
      </c>
    </row>
    <row r="12" spans="1:4" x14ac:dyDescent="0.2">
      <c r="A12" t="s">
        <v>448</v>
      </c>
      <c r="B12" t="s">
        <v>350</v>
      </c>
      <c r="C12">
        <v>6</v>
      </c>
      <c r="D12" s="8">
        <v>1.5853584388078521</v>
      </c>
    </row>
    <row r="13" spans="1:4" x14ac:dyDescent="0.2">
      <c r="A13" t="s">
        <v>410</v>
      </c>
      <c r="B13" t="s">
        <v>350</v>
      </c>
      <c r="C13">
        <v>4</v>
      </c>
      <c r="D13" s="8">
        <v>1.5009878011868527</v>
      </c>
    </row>
    <row r="14" spans="1:4" x14ac:dyDescent="0.2">
      <c r="A14" t="s">
        <v>606</v>
      </c>
      <c r="B14" t="s">
        <v>350</v>
      </c>
      <c r="C14">
        <v>4</v>
      </c>
      <c r="D14" s="8">
        <v>1.477050041982831</v>
      </c>
    </row>
    <row r="15" spans="1:4" x14ac:dyDescent="0.2">
      <c r="A15" t="s">
        <v>444</v>
      </c>
      <c r="B15" t="s">
        <v>350</v>
      </c>
      <c r="C15">
        <v>8</v>
      </c>
      <c r="D15" s="8">
        <v>1.4601991673075156</v>
      </c>
    </row>
    <row r="16" spans="1:4" x14ac:dyDescent="0.2">
      <c r="A16" t="s">
        <v>414</v>
      </c>
      <c r="B16" t="s">
        <v>350</v>
      </c>
      <c r="C16">
        <v>4</v>
      </c>
      <c r="D16" s="8">
        <v>1.4537248200152975</v>
      </c>
    </row>
    <row r="17" spans="1:4" x14ac:dyDescent="0.2">
      <c r="A17" t="s">
        <v>416</v>
      </c>
      <c r="B17" t="s">
        <v>350</v>
      </c>
      <c r="C17">
        <v>3</v>
      </c>
      <c r="D17" s="8">
        <v>1.4480208442974976</v>
      </c>
    </row>
    <row r="18" spans="1:4" x14ac:dyDescent="0.2">
      <c r="A18" t="s">
        <v>418</v>
      </c>
      <c r="B18" t="s">
        <v>350</v>
      </c>
      <c r="C18">
        <v>5</v>
      </c>
      <c r="D18" s="8">
        <v>1.3931477552921823</v>
      </c>
    </row>
    <row r="19" spans="1:4" x14ac:dyDescent="0.2">
      <c r="A19" t="s">
        <v>422</v>
      </c>
      <c r="B19" t="s">
        <v>350</v>
      </c>
      <c r="C19">
        <v>5</v>
      </c>
      <c r="D19" s="8">
        <v>1.3624110177908195</v>
      </c>
    </row>
    <row r="20" spans="1:4" x14ac:dyDescent="0.2">
      <c r="A20" t="s">
        <v>412</v>
      </c>
      <c r="B20" t="s">
        <v>350</v>
      </c>
      <c r="C20">
        <v>13</v>
      </c>
      <c r="D20" s="8">
        <v>1.3395787199231428</v>
      </c>
    </row>
    <row r="21" spans="1:4" x14ac:dyDescent="0.2">
      <c r="A21" t="s">
        <v>608</v>
      </c>
      <c r="B21" t="s">
        <v>350</v>
      </c>
      <c r="C21">
        <v>3</v>
      </c>
      <c r="D21" s="8">
        <v>1.3363541548814371</v>
      </c>
    </row>
    <row r="22" spans="1:4" x14ac:dyDescent="0.2">
      <c r="A22" t="s">
        <v>426</v>
      </c>
      <c r="B22" t="s">
        <v>350</v>
      </c>
      <c r="C22">
        <v>4</v>
      </c>
      <c r="D22" s="8">
        <v>1.3056033441192774</v>
      </c>
    </row>
    <row r="23" spans="1:4" x14ac:dyDescent="0.2">
      <c r="A23" s="2" t="s">
        <v>352</v>
      </c>
      <c r="B23" s="2" t="s">
        <v>394</v>
      </c>
      <c r="C23" s="2">
        <v>24</v>
      </c>
      <c r="D23" s="7">
        <v>3.3276772458444959</v>
      </c>
    </row>
    <row r="24" spans="1:4" x14ac:dyDescent="0.2">
      <c r="A24" s="2" t="s">
        <v>354</v>
      </c>
      <c r="B24" s="2" t="s">
        <v>394</v>
      </c>
      <c r="C24" s="2">
        <v>106</v>
      </c>
      <c r="D24" s="7">
        <v>3.0879703530104305</v>
      </c>
    </row>
    <row r="25" spans="1:4" x14ac:dyDescent="0.2">
      <c r="A25" s="2" t="s">
        <v>358</v>
      </c>
      <c r="B25" s="2" t="s">
        <v>394</v>
      </c>
      <c r="C25" s="2">
        <v>9</v>
      </c>
      <c r="D25" s="7">
        <v>2.236986144238458</v>
      </c>
    </row>
    <row r="26" spans="1:4" x14ac:dyDescent="0.2">
      <c r="A26" t="s">
        <v>356</v>
      </c>
      <c r="B26" t="s">
        <v>394</v>
      </c>
      <c r="C26">
        <v>10</v>
      </c>
      <c r="D26" s="8">
        <v>1.7613917740471992</v>
      </c>
    </row>
    <row r="27" spans="1:4" x14ac:dyDescent="0.2">
      <c r="A27" t="s">
        <v>612</v>
      </c>
      <c r="B27" t="s">
        <v>394</v>
      </c>
      <c r="C27">
        <v>9</v>
      </c>
      <c r="D27" s="8">
        <v>1.6230501148826708</v>
      </c>
    </row>
    <row r="28" spans="1:4" x14ac:dyDescent="0.2">
      <c r="A28" t="s">
        <v>614</v>
      </c>
      <c r="B28" t="s">
        <v>394</v>
      </c>
      <c r="C28">
        <v>21</v>
      </c>
      <c r="D28" s="8">
        <v>1.4615110660693849</v>
      </c>
    </row>
    <row r="29" spans="1:4" x14ac:dyDescent="0.2">
      <c r="A29" t="s">
        <v>616</v>
      </c>
      <c r="B29" t="s">
        <v>394</v>
      </c>
      <c r="C29">
        <v>8</v>
      </c>
      <c r="D29" s="8">
        <v>1.398365520430539</v>
      </c>
    </row>
    <row r="30" spans="1:4" x14ac:dyDescent="0.2">
      <c r="A30" t="s">
        <v>380</v>
      </c>
      <c r="B30" t="s">
        <v>394</v>
      </c>
      <c r="C30">
        <v>7</v>
      </c>
      <c r="D30" s="8">
        <v>1.3901519963405506</v>
      </c>
    </row>
    <row r="31" spans="1:4" x14ac:dyDescent="0.2">
      <c r="A31" t="s">
        <v>362</v>
      </c>
      <c r="B31" t="s">
        <v>394</v>
      </c>
      <c r="C31">
        <v>3</v>
      </c>
      <c r="D31" s="8">
        <v>1.3155295324070975</v>
      </c>
    </row>
    <row r="32" spans="1:4" x14ac:dyDescent="0.2">
      <c r="A32" s="2" t="s">
        <v>311</v>
      </c>
      <c r="B32" s="2" t="s">
        <v>393</v>
      </c>
      <c r="C32" s="2">
        <v>4</v>
      </c>
      <c r="D32" s="7">
        <v>2.7944744096320733</v>
      </c>
    </row>
    <row r="33" spans="1:4" x14ac:dyDescent="0.2">
      <c r="A33" s="2" t="s">
        <v>301</v>
      </c>
      <c r="B33" s="2" t="s">
        <v>393</v>
      </c>
      <c r="C33" s="2">
        <v>46</v>
      </c>
      <c r="D33" s="7">
        <v>2.7646889246039179</v>
      </c>
    </row>
    <row r="34" spans="1:4" x14ac:dyDescent="0.2">
      <c r="A34" s="2" t="s">
        <v>309</v>
      </c>
      <c r="B34" s="2" t="s">
        <v>393</v>
      </c>
      <c r="C34" s="2">
        <v>44</v>
      </c>
      <c r="D34" s="7">
        <v>2.2713068512455168</v>
      </c>
    </row>
    <row r="35" spans="1:4" x14ac:dyDescent="0.2">
      <c r="A35" s="2" t="s">
        <v>303</v>
      </c>
      <c r="B35" s="2" t="s">
        <v>393</v>
      </c>
      <c r="C35" s="2">
        <v>6</v>
      </c>
      <c r="D35" s="7">
        <v>2.2018382378965073</v>
      </c>
    </row>
    <row r="36" spans="1:4" x14ac:dyDescent="0.2">
      <c r="A36" s="2" t="s">
        <v>325</v>
      </c>
      <c r="B36" s="2" t="s">
        <v>393</v>
      </c>
      <c r="C36" s="2">
        <v>22</v>
      </c>
      <c r="D36" s="7">
        <v>2.0497482390260062</v>
      </c>
    </row>
    <row r="37" spans="1:4" x14ac:dyDescent="0.2">
      <c r="A37" t="s">
        <v>305</v>
      </c>
      <c r="B37" t="s">
        <v>393</v>
      </c>
      <c r="C37">
        <v>4</v>
      </c>
      <c r="D37" s="8">
        <v>1.817460056944981</v>
      </c>
    </row>
    <row r="38" spans="1:4" x14ac:dyDescent="0.2">
      <c r="A38" t="s">
        <v>317</v>
      </c>
      <c r="B38" t="s">
        <v>393</v>
      </c>
      <c r="C38">
        <v>9</v>
      </c>
      <c r="D38" s="8">
        <v>1.7981066296468344</v>
      </c>
    </row>
    <row r="39" spans="1:4" x14ac:dyDescent="0.2">
      <c r="A39" t="s">
        <v>313</v>
      </c>
      <c r="B39" t="s">
        <v>393</v>
      </c>
      <c r="C39">
        <v>34</v>
      </c>
      <c r="D39" s="8">
        <v>1.7234412235512733</v>
      </c>
    </row>
    <row r="40" spans="1:4" x14ac:dyDescent="0.2">
      <c r="A40" t="s">
        <v>307</v>
      </c>
      <c r="B40" t="s">
        <v>393</v>
      </c>
      <c r="C40">
        <v>14</v>
      </c>
      <c r="D40" s="8">
        <v>1.602164684671239</v>
      </c>
    </row>
    <row r="41" spans="1:4" x14ac:dyDescent="0.2">
      <c r="A41" t="s">
        <v>321</v>
      </c>
      <c r="B41" t="s">
        <v>393</v>
      </c>
      <c r="C41">
        <v>4</v>
      </c>
      <c r="D41" s="8">
        <v>1.3901144540362131</v>
      </c>
    </row>
    <row r="42" spans="1:4" x14ac:dyDescent="0.2">
      <c r="A42" t="s">
        <v>319</v>
      </c>
      <c r="B42" t="s">
        <v>393</v>
      </c>
      <c r="C42">
        <v>6</v>
      </c>
      <c r="D42" s="8">
        <v>1.3623075349395135</v>
      </c>
    </row>
    <row r="43" spans="1:4" x14ac:dyDescent="0.2">
      <c r="A43" t="s">
        <v>315</v>
      </c>
      <c r="B43" t="s">
        <v>393</v>
      </c>
      <c r="C43">
        <v>9</v>
      </c>
      <c r="D43" s="8">
        <v>1.3500928872975102</v>
      </c>
    </row>
    <row r="44" spans="1:4" x14ac:dyDescent="0.2">
      <c r="A44" t="s">
        <v>323</v>
      </c>
      <c r="B44" t="s">
        <v>393</v>
      </c>
      <c r="C44">
        <v>5</v>
      </c>
      <c r="D44" s="8">
        <v>1.3072108581643955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3EE1-E4B3-C94E-9614-72D62560BE90}">
  <dimension ref="A1:D14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398</v>
      </c>
      <c r="B2" s="2" t="s">
        <v>350</v>
      </c>
      <c r="C2" s="2">
        <v>6</v>
      </c>
      <c r="D2" s="7">
        <v>3.353329632390833</v>
      </c>
    </row>
    <row r="3" spans="1:4" x14ac:dyDescent="0.2">
      <c r="A3" s="2" t="s">
        <v>396</v>
      </c>
      <c r="B3" s="2" t="s">
        <v>350</v>
      </c>
      <c r="C3" s="2">
        <v>9</v>
      </c>
      <c r="D3" s="7">
        <v>3.3130385417946075</v>
      </c>
    </row>
    <row r="4" spans="1:4" x14ac:dyDescent="0.2">
      <c r="A4" s="2" t="s">
        <v>402</v>
      </c>
      <c r="B4" s="2" t="s">
        <v>350</v>
      </c>
      <c r="C4" s="2">
        <v>9</v>
      </c>
      <c r="D4" s="7">
        <v>2.6367576513775224</v>
      </c>
    </row>
    <row r="5" spans="1:4" x14ac:dyDescent="0.2">
      <c r="A5" s="2" t="s">
        <v>406</v>
      </c>
      <c r="B5" s="2" t="s">
        <v>350</v>
      </c>
      <c r="C5" s="2">
        <v>9</v>
      </c>
      <c r="D5" s="7">
        <v>2.4053957171902507</v>
      </c>
    </row>
    <row r="6" spans="1:4" x14ac:dyDescent="0.2">
      <c r="A6" s="2" t="s">
        <v>400</v>
      </c>
      <c r="B6" s="2" t="s">
        <v>350</v>
      </c>
      <c r="C6" s="2">
        <v>8</v>
      </c>
      <c r="D6" s="7">
        <v>2.2461423185404108</v>
      </c>
    </row>
    <row r="7" spans="1:4" x14ac:dyDescent="0.2">
      <c r="A7" s="2" t="s">
        <v>352</v>
      </c>
      <c r="B7" s="2" t="s">
        <v>394</v>
      </c>
      <c r="C7" s="2">
        <v>24</v>
      </c>
      <c r="D7" s="7">
        <v>3.3276772458444959</v>
      </c>
    </row>
    <row r="8" spans="1:4" x14ac:dyDescent="0.2">
      <c r="A8" s="2" t="s">
        <v>354</v>
      </c>
      <c r="B8" s="2" t="s">
        <v>394</v>
      </c>
      <c r="C8" s="2">
        <v>106</v>
      </c>
      <c r="D8" s="7">
        <v>3.0879703530104305</v>
      </c>
    </row>
    <row r="9" spans="1:4" x14ac:dyDescent="0.2">
      <c r="A9" s="2" t="s">
        <v>358</v>
      </c>
      <c r="B9" s="2" t="s">
        <v>394</v>
      </c>
      <c r="C9" s="2">
        <v>9</v>
      </c>
      <c r="D9" s="7">
        <v>2.236986144238458</v>
      </c>
    </row>
    <row r="10" spans="1:4" x14ac:dyDescent="0.2">
      <c r="A10" s="2" t="s">
        <v>311</v>
      </c>
      <c r="B10" s="2" t="s">
        <v>393</v>
      </c>
      <c r="C10" s="2">
        <v>4</v>
      </c>
      <c r="D10" s="7">
        <v>2.7944744096320733</v>
      </c>
    </row>
    <row r="11" spans="1:4" x14ac:dyDescent="0.2">
      <c r="A11" s="2" t="s">
        <v>301</v>
      </c>
      <c r="B11" s="2" t="s">
        <v>393</v>
      </c>
      <c r="C11" s="2">
        <v>46</v>
      </c>
      <c r="D11" s="7">
        <v>2.7646889246039179</v>
      </c>
    </row>
    <row r="12" spans="1:4" x14ac:dyDescent="0.2">
      <c r="A12" s="2" t="s">
        <v>309</v>
      </c>
      <c r="B12" s="2" t="s">
        <v>393</v>
      </c>
      <c r="C12" s="2">
        <v>44</v>
      </c>
      <c r="D12" s="7">
        <v>2.2713068512455168</v>
      </c>
    </row>
    <row r="13" spans="1:4" x14ac:dyDescent="0.2">
      <c r="A13" s="2" t="s">
        <v>303</v>
      </c>
      <c r="B13" s="2" t="s">
        <v>393</v>
      </c>
      <c r="C13" s="2">
        <v>6</v>
      </c>
      <c r="D13" s="7">
        <v>2.2018382378965073</v>
      </c>
    </row>
    <row r="14" spans="1:4" x14ac:dyDescent="0.2">
      <c r="A14" s="2" t="s">
        <v>325</v>
      </c>
      <c r="B14" s="2" t="s">
        <v>393</v>
      </c>
      <c r="C14" s="2">
        <v>22</v>
      </c>
      <c r="D14" s="7">
        <v>2.0497482390260062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CAF6-81FD-4641-871A-D557A91681AE}">
  <dimension ref="A1:D38"/>
  <sheetViews>
    <sheetView topLeftCell="A29" workbookViewId="0">
      <selection sqref="A1:D1"/>
    </sheetView>
  </sheetViews>
  <sheetFormatPr baseColWidth="10" defaultRowHeight="16" x14ac:dyDescent="0.2"/>
  <cols>
    <col min="1" max="1" width="53.5" bestFit="1" customWidth="1"/>
    <col min="2" max="2" width="15.8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396</v>
      </c>
      <c r="B2" s="2" t="s">
        <v>350</v>
      </c>
      <c r="C2" s="2">
        <v>9</v>
      </c>
      <c r="D2" s="7">
        <v>3.5412653196780481</v>
      </c>
    </row>
    <row r="3" spans="1:4" x14ac:dyDescent="0.2">
      <c r="A3" s="2" t="s">
        <v>398</v>
      </c>
      <c r="B3" s="2" t="s">
        <v>350</v>
      </c>
      <c r="C3" s="2">
        <v>6</v>
      </c>
      <c r="D3" s="7">
        <v>3.5103790961821426</v>
      </c>
    </row>
    <row r="4" spans="1:4" x14ac:dyDescent="0.2">
      <c r="A4" s="2" t="s">
        <v>400</v>
      </c>
      <c r="B4" s="2" t="s">
        <v>350</v>
      </c>
      <c r="C4" s="2">
        <v>8</v>
      </c>
      <c r="D4" s="7">
        <v>2.4312144645373888</v>
      </c>
    </row>
    <row r="5" spans="1:4" x14ac:dyDescent="0.2">
      <c r="A5" s="2" t="s">
        <v>402</v>
      </c>
      <c r="B5" s="2" t="s">
        <v>350</v>
      </c>
      <c r="C5" s="2">
        <v>8</v>
      </c>
      <c r="D5" s="7">
        <v>2.2399301415884283</v>
      </c>
    </row>
    <row r="6" spans="1:4" x14ac:dyDescent="0.2">
      <c r="A6" s="2" t="s">
        <v>404</v>
      </c>
      <c r="B6" s="2" t="s">
        <v>350</v>
      </c>
      <c r="C6" s="2">
        <v>5</v>
      </c>
      <c r="D6" s="7">
        <v>2.0436843814880845</v>
      </c>
    </row>
    <row r="7" spans="1:4" x14ac:dyDescent="0.2">
      <c r="A7" s="2" t="s">
        <v>406</v>
      </c>
      <c r="B7" s="2" t="s">
        <v>350</v>
      </c>
      <c r="C7" s="2">
        <v>8</v>
      </c>
      <c r="D7" s="7">
        <v>2.041252059785112</v>
      </c>
    </row>
    <row r="8" spans="1:4" x14ac:dyDescent="0.2">
      <c r="A8" s="2" t="s">
        <v>408</v>
      </c>
      <c r="B8" s="2" t="s">
        <v>350</v>
      </c>
      <c r="C8" s="2">
        <v>6</v>
      </c>
      <c r="D8" s="7">
        <v>2.0403319009896217</v>
      </c>
    </row>
    <row r="9" spans="1:4" x14ac:dyDescent="0.2">
      <c r="A9" t="s">
        <v>410</v>
      </c>
      <c r="B9" t="s">
        <v>350</v>
      </c>
      <c r="C9">
        <v>4</v>
      </c>
      <c r="D9" s="8">
        <v>1.5886581461849834</v>
      </c>
    </row>
    <row r="10" spans="1:4" x14ac:dyDescent="0.2">
      <c r="A10" t="s">
        <v>412</v>
      </c>
      <c r="B10" t="s">
        <v>350</v>
      </c>
      <c r="C10">
        <v>13</v>
      </c>
      <c r="D10" s="8">
        <v>1.5612334078429586</v>
      </c>
    </row>
    <row r="11" spans="1:4" x14ac:dyDescent="0.2">
      <c r="A11" t="s">
        <v>414</v>
      </c>
      <c r="B11" t="s">
        <v>350</v>
      </c>
      <c r="C11">
        <v>4</v>
      </c>
      <c r="D11" s="8">
        <v>1.5406951183482314</v>
      </c>
    </row>
    <row r="12" spans="1:4" x14ac:dyDescent="0.2">
      <c r="A12" t="s">
        <v>416</v>
      </c>
      <c r="B12" t="s">
        <v>350</v>
      </c>
      <c r="C12">
        <v>3</v>
      </c>
      <c r="D12" s="8">
        <v>1.5109035308211087</v>
      </c>
    </row>
    <row r="13" spans="1:4" x14ac:dyDescent="0.2">
      <c r="A13" t="s">
        <v>418</v>
      </c>
      <c r="B13" t="s">
        <v>350</v>
      </c>
      <c r="C13">
        <v>5</v>
      </c>
      <c r="D13" s="8">
        <v>1.4996355404796577</v>
      </c>
    </row>
    <row r="14" spans="1:4" x14ac:dyDescent="0.2">
      <c r="A14" t="s">
        <v>420</v>
      </c>
      <c r="B14" t="s">
        <v>350</v>
      </c>
      <c r="C14">
        <v>11</v>
      </c>
      <c r="D14" s="8">
        <v>1.4716340519459792</v>
      </c>
    </row>
    <row r="15" spans="1:4" x14ac:dyDescent="0.2">
      <c r="A15" t="s">
        <v>422</v>
      </c>
      <c r="B15" t="s">
        <v>350</v>
      </c>
      <c r="C15">
        <v>5</v>
      </c>
      <c r="D15" s="8">
        <v>1.4681701878932067</v>
      </c>
    </row>
    <row r="16" spans="1:4" x14ac:dyDescent="0.2">
      <c r="A16" t="s">
        <v>424</v>
      </c>
      <c r="B16" t="s">
        <v>350</v>
      </c>
      <c r="C16">
        <v>9</v>
      </c>
      <c r="D16" s="8">
        <v>1.4522565345275764</v>
      </c>
    </row>
    <row r="17" spans="1:4" x14ac:dyDescent="0.2">
      <c r="A17" t="s">
        <v>426</v>
      </c>
      <c r="B17" t="s">
        <v>350</v>
      </c>
      <c r="C17">
        <v>4</v>
      </c>
      <c r="D17" s="8">
        <v>1.3901432482269898</v>
      </c>
    </row>
    <row r="18" spans="1:4" x14ac:dyDescent="0.2">
      <c r="A18" t="s">
        <v>428</v>
      </c>
      <c r="B18" t="s">
        <v>350</v>
      </c>
      <c r="C18">
        <v>7</v>
      </c>
      <c r="D18" s="8">
        <v>1.3340281022657094</v>
      </c>
    </row>
    <row r="19" spans="1:4" x14ac:dyDescent="0.2">
      <c r="A19" t="s">
        <v>430</v>
      </c>
      <c r="B19" t="s">
        <v>350</v>
      </c>
      <c r="C19">
        <v>5</v>
      </c>
      <c r="D19" s="8">
        <v>1.3238402623566439</v>
      </c>
    </row>
    <row r="20" spans="1:4" x14ac:dyDescent="0.2">
      <c r="A20" s="2" t="s">
        <v>352</v>
      </c>
      <c r="B20" s="2" t="s">
        <v>394</v>
      </c>
      <c r="C20" s="2">
        <v>23</v>
      </c>
      <c r="D20" s="7">
        <v>3.4150717027450419</v>
      </c>
    </row>
    <row r="21" spans="1:4" x14ac:dyDescent="0.2">
      <c r="A21" s="2" t="s">
        <v>354</v>
      </c>
      <c r="B21" s="2" t="s">
        <v>394</v>
      </c>
      <c r="C21" s="2">
        <v>97</v>
      </c>
      <c r="D21" s="7">
        <v>2.7302911685004525</v>
      </c>
    </row>
    <row r="22" spans="1:4" x14ac:dyDescent="0.2">
      <c r="A22" t="s">
        <v>356</v>
      </c>
      <c r="B22" t="s">
        <v>394</v>
      </c>
      <c r="C22">
        <v>10</v>
      </c>
      <c r="D22" s="8">
        <v>1.9708020311494021</v>
      </c>
    </row>
    <row r="23" spans="1:4" x14ac:dyDescent="0.2">
      <c r="A23" t="s">
        <v>358</v>
      </c>
      <c r="B23" t="s">
        <v>394</v>
      </c>
      <c r="C23">
        <v>8</v>
      </c>
      <c r="D23" s="8">
        <v>1.9039707084919473</v>
      </c>
    </row>
    <row r="24" spans="1:4" x14ac:dyDescent="0.2">
      <c r="A24" t="s">
        <v>360</v>
      </c>
      <c r="B24" t="s">
        <v>394</v>
      </c>
      <c r="C24">
        <v>73</v>
      </c>
      <c r="D24" s="8">
        <v>1.7664233619056446</v>
      </c>
    </row>
    <row r="25" spans="1:4" x14ac:dyDescent="0.2">
      <c r="A25" t="s">
        <v>362</v>
      </c>
      <c r="B25" t="s">
        <v>394</v>
      </c>
      <c r="C25">
        <v>3</v>
      </c>
      <c r="D25" s="8">
        <v>1.3778570190391843</v>
      </c>
    </row>
    <row r="26" spans="1:4" x14ac:dyDescent="0.2">
      <c r="A26" s="2" t="s">
        <v>301</v>
      </c>
      <c r="B26" s="2" t="s">
        <v>393</v>
      </c>
      <c r="C26" s="2">
        <v>42</v>
      </c>
      <c r="D26" s="7">
        <v>2.4926384284480654</v>
      </c>
    </row>
    <row r="27" spans="1:4" x14ac:dyDescent="0.2">
      <c r="A27" s="2" t="s">
        <v>303</v>
      </c>
      <c r="B27" s="2" t="s">
        <v>393</v>
      </c>
      <c r="C27" s="2">
        <v>6</v>
      </c>
      <c r="D27" s="7">
        <v>2.3529076952975823</v>
      </c>
    </row>
    <row r="28" spans="1:4" x14ac:dyDescent="0.2">
      <c r="A28" t="s">
        <v>305</v>
      </c>
      <c r="B28" t="s">
        <v>393</v>
      </c>
      <c r="C28">
        <v>4</v>
      </c>
      <c r="D28" s="8">
        <v>1.9141303290179696</v>
      </c>
    </row>
    <row r="29" spans="1:4" x14ac:dyDescent="0.2">
      <c r="A29" t="s">
        <v>307</v>
      </c>
      <c r="B29" t="s">
        <v>393</v>
      </c>
      <c r="C29">
        <v>14</v>
      </c>
      <c r="D29" s="8">
        <v>1.8662371036210521</v>
      </c>
    </row>
    <row r="30" spans="1:4" x14ac:dyDescent="0.2">
      <c r="A30" t="s">
        <v>309</v>
      </c>
      <c r="B30" t="s">
        <v>393</v>
      </c>
      <c r="C30">
        <v>39</v>
      </c>
      <c r="D30" s="8">
        <v>1.8082953052177886</v>
      </c>
    </row>
    <row r="31" spans="1:4" x14ac:dyDescent="0.2">
      <c r="A31" t="s">
        <v>311</v>
      </c>
      <c r="B31" t="s">
        <v>393</v>
      </c>
      <c r="C31">
        <v>3</v>
      </c>
      <c r="D31" s="8">
        <v>1.7005068971100852</v>
      </c>
    </row>
    <row r="32" spans="1:4" x14ac:dyDescent="0.2">
      <c r="A32" t="s">
        <v>313</v>
      </c>
      <c r="B32" t="s">
        <v>393</v>
      </c>
      <c r="C32">
        <v>31</v>
      </c>
      <c r="D32" s="8">
        <v>1.553655204360274</v>
      </c>
    </row>
    <row r="33" spans="1:4" x14ac:dyDescent="0.2">
      <c r="A33" t="s">
        <v>315</v>
      </c>
      <c r="B33" t="s">
        <v>393</v>
      </c>
      <c r="C33">
        <v>9</v>
      </c>
      <c r="D33" s="8">
        <v>1.5277765659281961</v>
      </c>
    </row>
    <row r="34" spans="1:4" x14ac:dyDescent="0.2">
      <c r="A34" t="s">
        <v>317</v>
      </c>
      <c r="B34" t="s">
        <v>393</v>
      </c>
      <c r="C34">
        <v>8</v>
      </c>
      <c r="D34" s="8">
        <v>1.527252389885255</v>
      </c>
    </row>
    <row r="35" spans="1:4" x14ac:dyDescent="0.2">
      <c r="A35" t="s">
        <v>319</v>
      </c>
      <c r="B35" t="s">
        <v>393</v>
      </c>
      <c r="C35">
        <v>6</v>
      </c>
      <c r="D35" s="8">
        <v>1.4931526073276757</v>
      </c>
    </row>
    <row r="36" spans="1:4" x14ac:dyDescent="0.2">
      <c r="A36" t="s">
        <v>321</v>
      </c>
      <c r="B36" t="s">
        <v>393</v>
      </c>
      <c r="C36">
        <v>4</v>
      </c>
      <c r="D36" s="8">
        <v>1.4808615751701986</v>
      </c>
    </row>
    <row r="37" spans="1:4" x14ac:dyDescent="0.2">
      <c r="A37" t="s">
        <v>323</v>
      </c>
      <c r="B37" t="s">
        <v>393</v>
      </c>
      <c r="C37">
        <v>5</v>
      </c>
      <c r="D37" s="8">
        <v>1.4174360954019329</v>
      </c>
    </row>
    <row r="38" spans="1:4" x14ac:dyDescent="0.2">
      <c r="A38" t="s">
        <v>325</v>
      </c>
      <c r="B38" t="s">
        <v>393</v>
      </c>
      <c r="C38">
        <v>18</v>
      </c>
      <c r="D38" s="8">
        <v>1.3025265955773253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54BF-744F-6842-BF46-0DC248F8C569}">
  <dimension ref="A1:D12"/>
  <sheetViews>
    <sheetView workbookViewId="0"/>
  </sheetViews>
  <sheetFormatPr baseColWidth="10" defaultRowHeight="16" x14ac:dyDescent="0.2"/>
  <cols>
    <col min="1" max="1" width="53.5" bestFit="1" customWidth="1"/>
    <col min="2" max="2" width="17.33203125" bestFit="1" customWidth="1"/>
    <col min="3" max="3" width="5.6640625" bestFit="1" customWidth="1"/>
    <col min="4" max="4" width="17.83203125" bestFit="1" customWidth="1"/>
  </cols>
  <sheetData>
    <row r="1" spans="1:4" x14ac:dyDescent="0.2">
      <c r="A1" s="11" t="s">
        <v>599</v>
      </c>
      <c r="B1" s="11" t="s">
        <v>600</v>
      </c>
      <c r="C1" s="11" t="s">
        <v>601</v>
      </c>
      <c r="D1" s="11" t="s">
        <v>602</v>
      </c>
    </row>
    <row r="2" spans="1:4" x14ac:dyDescent="0.2">
      <c r="A2" s="2" t="s">
        <v>396</v>
      </c>
      <c r="B2" s="2" t="s">
        <v>350</v>
      </c>
      <c r="C2" s="2">
        <v>9</v>
      </c>
      <c r="D2" s="7">
        <v>3.5412653196780481</v>
      </c>
    </row>
    <row r="3" spans="1:4" x14ac:dyDescent="0.2">
      <c r="A3" s="2" t="s">
        <v>398</v>
      </c>
      <c r="B3" s="2" t="s">
        <v>350</v>
      </c>
      <c r="C3" s="2">
        <v>6</v>
      </c>
      <c r="D3" s="7">
        <v>3.5103790961821426</v>
      </c>
    </row>
    <row r="4" spans="1:4" x14ac:dyDescent="0.2">
      <c r="A4" s="2" t="s">
        <v>400</v>
      </c>
      <c r="B4" s="2" t="s">
        <v>350</v>
      </c>
      <c r="C4" s="2">
        <v>8</v>
      </c>
      <c r="D4" s="7">
        <v>2.4312144645373888</v>
      </c>
    </row>
    <row r="5" spans="1:4" x14ac:dyDescent="0.2">
      <c r="A5" s="2" t="s">
        <v>402</v>
      </c>
      <c r="B5" s="2" t="s">
        <v>350</v>
      </c>
      <c r="C5" s="2">
        <v>8</v>
      </c>
      <c r="D5" s="7">
        <v>2.2399301415884283</v>
      </c>
    </row>
    <row r="6" spans="1:4" x14ac:dyDescent="0.2">
      <c r="A6" s="2" t="s">
        <v>404</v>
      </c>
      <c r="B6" s="2" t="s">
        <v>350</v>
      </c>
      <c r="C6" s="2">
        <v>5</v>
      </c>
      <c r="D6" s="7">
        <v>2.0436843814880845</v>
      </c>
    </row>
    <row r="7" spans="1:4" x14ac:dyDescent="0.2">
      <c r="A7" s="2" t="s">
        <v>406</v>
      </c>
      <c r="B7" s="2" t="s">
        <v>350</v>
      </c>
      <c r="C7" s="2">
        <v>8</v>
      </c>
      <c r="D7" s="7">
        <v>2.041252059785112</v>
      </c>
    </row>
    <row r="8" spans="1:4" x14ac:dyDescent="0.2">
      <c r="A8" s="2" t="s">
        <v>408</v>
      </c>
      <c r="B8" s="2" t="s">
        <v>350</v>
      </c>
      <c r="C8" s="2">
        <v>6</v>
      </c>
      <c r="D8" s="7">
        <v>2.0403319009896217</v>
      </c>
    </row>
    <row r="9" spans="1:4" x14ac:dyDescent="0.2">
      <c r="A9" s="2" t="s">
        <v>352</v>
      </c>
      <c r="B9" s="2" t="s">
        <v>394</v>
      </c>
      <c r="C9" s="2">
        <v>23</v>
      </c>
      <c r="D9" s="7">
        <v>3.4150717027450419</v>
      </c>
    </row>
    <row r="10" spans="1:4" x14ac:dyDescent="0.2">
      <c r="A10" s="2" t="s">
        <v>354</v>
      </c>
      <c r="B10" s="2" t="s">
        <v>394</v>
      </c>
      <c r="C10" s="2">
        <v>97</v>
      </c>
      <c r="D10" s="7">
        <v>2.7302911685004525</v>
      </c>
    </row>
    <row r="11" spans="1:4" x14ac:dyDescent="0.2">
      <c r="A11" s="2" t="s">
        <v>301</v>
      </c>
      <c r="B11" s="2" t="s">
        <v>393</v>
      </c>
      <c r="C11" s="2">
        <v>42</v>
      </c>
      <c r="D11" s="7">
        <v>2.4926384284480654</v>
      </c>
    </row>
    <row r="12" spans="1:4" x14ac:dyDescent="0.2">
      <c r="A12" s="2" t="s">
        <v>303</v>
      </c>
      <c r="B12" s="2" t="s">
        <v>393</v>
      </c>
      <c r="C12" s="2">
        <v>6</v>
      </c>
      <c r="D12" s="7">
        <v>2.3529076952975823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readme</vt:lpstr>
      <vt:lpstr>TOP 20kb BP</vt:lpstr>
      <vt:lpstr>TOP 20kb CC</vt:lpstr>
      <vt:lpstr>TOP 20kb MF</vt:lpstr>
      <vt:lpstr>TOP 10kb BP</vt:lpstr>
      <vt:lpstr>TOP 10kb CC</vt:lpstr>
      <vt:lpstr>TOP 10kb MF</vt:lpstr>
      <vt:lpstr>TOP 5kb BP</vt:lpstr>
      <vt:lpstr>TOP 5kb CC</vt:lpstr>
      <vt:lpstr>TOP 5kb MF</vt:lpstr>
      <vt:lpstr>TOP 1kb BP</vt:lpstr>
      <vt:lpstr>TOP 1kb CC</vt:lpstr>
      <vt:lpstr>TOP 1kb MF</vt:lpstr>
      <vt:lpstr>TOP 0.5kb BP</vt:lpstr>
      <vt:lpstr>TOP 0.5kb CC</vt:lpstr>
      <vt:lpstr>TOP 0.5kb MF</vt:lpstr>
      <vt:lpstr>TOP 20kb p0.05 plot</vt:lpstr>
      <vt:lpstr>TOP 20kb p0.01 plot</vt:lpstr>
      <vt:lpstr>TOP 10kb p0.05 plot</vt:lpstr>
      <vt:lpstr>TOP 10kb p0.01 plot</vt:lpstr>
      <vt:lpstr>TOP 5kb p0.05 plot</vt:lpstr>
      <vt:lpstr>TOP 5kb p0.01 plot</vt:lpstr>
      <vt:lpstr>TOP 1kb p0.05 plot</vt:lpstr>
      <vt:lpstr>TOP 1kb p0.01 plot</vt:lpstr>
      <vt:lpstr>TOP 0.5kb p0.05 plot</vt:lpstr>
      <vt:lpstr>TOP 0.5kb p0.01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Jilda Alicia Caccavo</dc:creator>
  <cp:lastModifiedBy>Jilda Alicia Caccavo</cp:lastModifiedBy>
  <dcterms:created xsi:type="dcterms:W3CDTF">2024-11-25T10:50:04Z</dcterms:created>
  <dcterms:modified xsi:type="dcterms:W3CDTF">2024-11-25T15:55:46Z</dcterms:modified>
</cp:coreProperties>
</file>